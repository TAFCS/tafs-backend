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NGLE CHILD" sheetId="1" r:id="rId5"/>
    <sheet state="visible" name="NNN" sheetId="2" r:id="rId6"/>
  </sheets>
  <definedNames/>
  <calcPr/>
</workbook>
</file>

<file path=xl/sharedStrings.xml><?xml version="1.0" encoding="utf-8"?>
<sst xmlns="http://schemas.openxmlformats.org/spreadsheetml/2006/main" count="2182" uniqueCount="689">
  <si>
    <t>DAY : TUESDAY</t>
  </si>
  <si>
    <t>DATE JULY 22, 2025</t>
  </si>
  <si>
    <t>THE AMERICAN FOUNDATION SCHOOL FOR A LEVEL STUDIES</t>
  </si>
  <si>
    <t>DAY : MONDAY</t>
  </si>
  <si>
    <t>DATE : JULY 20, 2026</t>
  </si>
  <si>
    <t>LIST OF SINGLE CHILD NNN</t>
  </si>
  <si>
    <t>LIST OF SINGLE CHILD  PN</t>
  </si>
  <si>
    <t>BRECKUP OF FEE STRUCTURE FROM 23-24, 24-25 TILL 2025-2026</t>
  </si>
  <si>
    <t>S #</t>
  </si>
  <si>
    <t>C.C. #</t>
  </si>
  <si>
    <t>GR</t>
  </si>
  <si>
    <t>STUDENT'S NAME</t>
  </si>
  <si>
    <t>FATHER'S NAME</t>
  </si>
  <si>
    <t>2023-2024</t>
  </si>
  <si>
    <t>G.R. #</t>
  </si>
  <si>
    <t>2024-2025</t>
  </si>
  <si>
    <t>LEVEL</t>
  </si>
  <si>
    <t>2025-2026</t>
  </si>
  <si>
    <t>2026-2027</t>
  </si>
  <si>
    <t>2023-2025</t>
  </si>
  <si>
    <t>A.C</t>
  </si>
  <si>
    <t>R.M</t>
  </si>
  <si>
    <t>CO.C</t>
  </si>
  <si>
    <t>MTF</t>
  </si>
  <si>
    <t>HUMNA JUNAID</t>
  </si>
  <si>
    <t>JUNAID-UL-HAQ</t>
  </si>
  <si>
    <t>_</t>
  </si>
  <si>
    <t>TOTAL</t>
  </si>
  <si>
    <t>NUR</t>
  </si>
  <si>
    <t>MUSTAFA JANANZEB</t>
  </si>
  <si>
    <t>JANANZEB</t>
  </si>
  <si>
    <t>LIST OF SINGLE CHILD  NUR A</t>
  </si>
  <si>
    <t>SHIZA HAYAT</t>
  </si>
  <si>
    <t>SHEHROZ IQBAL</t>
  </si>
  <si>
    <t>NEW ADMISSION</t>
  </si>
  <si>
    <t xml:space="preserve">MUHAMMAD BILAL FAROOQUI </t>
  </si>
  <si>
    <t>SHEIKH HAREEM MUBARIZ</t>
  </si>
  <si>
    <t>MUHAMMAD MUBARIZ</t>
  </si>
  <si>
    <t>PAID WHOLE SESSION FEES OF 2025-26</t>
  </si>
  <si>
    <t>MURTAZA MUZAMIL</t>
  </si>
  <si>
    <t>MUZAMIL HUSSAIN SOOMRO</t>
  </si>
  <si>
    <t>MUHAMMAD ZAIN ALI JAMALI</t>
  </si>
  <si>
    <t>ALI RAZA JAMALI</t>
  </si>
  <si>
    <t>EMAAN ZAID</t>
  </si>
  <si>
    <t>ZAID HUSSAIN</t>
  </si>
  <si>
    <t>SALAR ASIF KHAN</t>
  </si>
  <si>
    <t>FARJAD ASIF KHAN</t>
  </si>
  <si>
    <t>KG</t>
  </si>
  <si>
    <t>ARHAM UL HAQ</t>
  </si>
  <si>
    <t>MOIZ UL HAQ</t>
  </si>
  <si>
    <t>MUHAMMAD IBRAHIM</t>
  </si>
  <si>
    <t>ADNAN NAEEM</t>
  </si>
  <si>
    <t>ESHAAL KHAN</t>
  </si>
  <si>
    <t>SAROOSH KHAN</t>
  </si>
  <si>
    <t>SHAHZAIN</t>
  </si>
  <si>
    <t>QURBAN ALI (LATE)</t>
  </si>
  <si>
    <t>F.E</t>
  </si>
  <si>
    <t>TAHIRA SAHIBA</t>
  </si>
  <si>
    <t xml:space="preserve">SHUJAT ALI </t>
  </si>
  <si>
    <t>USMAN KHALID</t>
  </si>
  <si>
    <t>KHALID AZIZ</t>
  </si>
  <si>
    <t>PAID WHOLE SESSION FEES OF 2025-2026</t>
  </si>
  <si>
    <t>MOHAMMAD ABDULLAH ANSARI</t>
  </si>
  <si>
    <t>SHEIKH SHARIQUDDIN ANSARI</t>
  </si>
  <si>
    <t>MUHAMMAD SALAR</t>
  </si>
  <si>
    <t>SABIR ALI</t>
  </si>
  <si>
    <t>PARIZA</t>
  </si>
  <si>
    <t>MUHAMMAD ZOHAIB</t>
  </si>
  <si>
    <t>HAIDER ABDULLAH</t>
  </si>
  <si>
    <t>ABDULLAH BIN WASEEM</t>
  </si>
  <si>
    <t xml:space="preserve">ANABIYA </t>
  </si>
  <si>
    <t>BISHARAT USMAN</t>
  </si>
  <si>
    <t xml:space="preserve">TEHREEM FATIMA </t>
  </si>
  <si>
    <t>MUHAMMAD NOSHAD</t>
  </si>
  <si>
    <t>MUHAMMAD IZHAAN AHMED</t>
  </si>
  <si>
    <t>MUHAMMAD AHMED</t>
  </si>
  <si>
    <t>ALI ABBAS</t>
  </si>
  <si>
    <t>MOHTISHAM HYDER</t>
  </si>
  <si>
    <t>DANIA BATOOL</t>
  </si>
  <si>
    <t>GHULAM HUSSAIN</t>
  </si>
  <si>
    <t>SYED MUHAMMAD HASSAN SHAH</t>
  </si>
  <si>
    <t>SHAH KHALID</t>
  </si>
  <si>
    <t>MUHAMMAD ABDULLAH</t>
  </si>
  <si>
    <t>FAEZ FEROZ</t>
  </si>
  <si>
    <t>M. FEROZ AHMED</t>
  </si>
  <si>
    <t>LIST OF SINGLE CHILD KG</t>
  </si>
  <si>
    <t>AARON OWAIS</t>
  </si>
  <si>
    <t>OWAIS ABDUL MUHAMMAD RUPAN</t>
  </si>
  <si>
    <t>MIRHA NAWAZ</t>
  </si>
  <si>
    <t>MUHAMMAD SHAMMAS</t>
  </si>
  <si>
    <t>JR-I</t>
  </si>
  <si>
    <t>MUHAMMAD ALMEER SHAHMEER</t>
  </si>
  <si>
    <t>SHAHMEER IQBAL</t>
  </si>
  <si>
    <t>SYED MUAZ BIN FAWAD</t>
  </si>
  <si>
    <t>SYED FAWAD BIN USMAN</t>
  </si>
  <si>
    <t xml:space="preserve">IMAN SOHAIL </t>
  </si>
  <si>
    <t>SOHAIL IFTIKHAR</t>
  </si>
  <si>
    <t xml:space="preserve">AGHA BURHAN </t>
  </si>
  <si>
    <t>AGHA ARSLAN</t>
  </si>
  <si>
    <t>HUNAIN ADNAN</t>
  </si>
  <si>
    <t xml:space="preserve">ADNAN AHMAD </t>
  </si>
  <si>
    <t>MUSHQ-E-ZEHRA</t>
  </si>
  <si>
    <t xml:space="preserve">WAQAR AHMED </t>
  </si>
  <si>
    <t>MUHAMMAD AYAN</t>
  </si>
  <si>
    <t xml:space="preserve">SHOAIB AHMED </t>
  </si>
  <si>
    <t>MUHAMMAD SADIQ MUJEEB</t>
  </si>
  <si>
    <t>MUHAMMAD ALI</t>
  </si>
  <si>
    <t>ADNAN JAFRI</t>
  </si>
  <si>
    <t>ANAYA FATIMA SHAIKH</t>
  </si>
  <si>
    <t>M SADIQ RAZA SADDAM</t>
  </si>
  <si>
    <t>FE</t>
  </si>
  <si>
    <t>MIRHA NAVEED</t>
  </si>
  <si>
    <t>SYEDA HEER ALVI</t>
  </si>
  <si>
    <t>JR-II</t>
  </si>
  <si>
    <t>MUHAMMAD MUSTAFA MIRZA</t>
  </si>
  <si>
    <t>IFTIKHAR MIRZA</t>
  </si>
  <si>
    <t>MARYUM MALLAH</t>
  </si>
  <si>
    <t>HAREEM FAIZAN</t>
  </si>
  <si>
    <t>AZLAN ZAHID</t>
  </si>
  <si>
    <t>M ESSA SIDDIQUI</t>
  </si>
  <si>
    <t>HUZAIFA AHMED</t>
  </si>
  <si>
    <t>BAREERAH DANYAL</t>
  </si>
  <si>
    <t>MUHAMMAD IBRAHIM RAIS</t>
  </si>
  <si>
    <t>JR-III</t>
  </si>
  <si>
    <t>FATIMA KAMRAN</t>
  </si>
  <si>
    <t>ABDULLAH AFTAB</t>
  </si>
  <si>
    <t>KAMRAN RIAZ</t>
  </si>
  <si>
    <t>ABIHA SARA</t>
  </si>
  <si>
    <t>SYED MUHAMMAD MURTAZA</t>
  </si>
  <si>
    <t>SYED QALB-E-ABBAS</t>
  </si>
  <si>
    <t>SHAHZAIN QAZI</t>
  </si>
  <si>
    <t>ROOHI BATOOL</t>
  </si>
  <si>
    <t>MUHAMMAD JAMEEL KHAN</t>
  </si>
  <si>
    <t xml:space="preserve">MUHAMMAD MUSTAFA </t>
  </si>
  <si>
    <t>DIGSHAT</t>
  </si>
  <si>
    <t>ESHWAR</t>
  </si>
  <si>
    <t>AYESHA SAQIB</t>
  </si>
  <si>
    <t>SAQIB NASIR</t>
  </si>
  <si>
    <t>HASHIR HUSSAIN</t>
  </si>
  <si>
    <t>FARIZA FEROZ</t>
  </si>
  <si>
    <t>MUHAMMAD FEROZ</t>
  </si>
  <si>
    <t>INSIYA SALMAN</t>
  </si>
  <si>
    <t>SALMAN KHALID</t>
  </si>
  <si>
    <t>UMER AHMED</t>
  </si>
  <si>
    <t>ARIF AHMED</t>
  </si>
  <si>
    <t xml:space="preserve">MUHAMMAD AUN </t>
  </si>
  <si>
    <t xml:space="preserve">MUHAMMAD ZUHAIR </t>
  </si>
  <si>
    <t>LIST OF SINGLE CHILD JR-I</t>
  </si>
  <si>
    <t>SYED RAYAN AHMED SAQUIB</t>
  </si>
  <si>
    <t xml:space="preserve">SYED SAQUIB MOIZ AHMED </t>
  </si>
  <si>
    <t>AYAAN</t>
  </si>
  <si>
    <t>ASAD ALI</t>
  </si>
  <si>
    <t>NEW</t>
  </si>
  <si>
    <t xml:space="preserve">MUHAMMAD MAIZ KHAN </t>
  </si>
  <si>
    <t xml:space="preserve">MUHAMMAD FURQAN KHAN </t>
  </si>
  <si>
    <t>MUHAMMAD HASSAN</t>
  </si>
  <si>
    <t>IMDADULLAH SHAKEEL NAWAZ</t>
  </si>
  <si>
    <t xml:space="preserve">HOORAIN FATIMA </t>
  </si>
  <si>
    <t xml:space="preserve">NASARULLAH </t>
  </si>
  <si>
    <t>ARHAAN HASSAN</t>
  </si>
  <si>
    <t>MUSHTAQ ALI</t>
  </si>
  <si>
    <t>JR-IV</t>
  </si>
  <si>
    <t>MUHAMMAD MAHAD RAIS</t>
  </si>
  <si>
    <t>CHAUDHRY RAIS</t>
  </si>
  <si>
    <t xml:space="preserve">MUHAMMAD ZAYAN </t>
  </si>
  <si>
    <t xml:space="preserve">ARSALAN AHMED </t>
  </si>
  <si>
    <t>MUHAMMAD AZFAR SIDDIQUI</t>
  </si>
  <si>
    <t>MUHAMMAD SHAKEEL AHMED</t>
  </si>
  <si>
    <t>RIZWAN HAIDER</t>
  </si>
  <si>
    <t>SYED MUHAMMAD MUSTAFA</t>
  </si>
  <si>
    <t>SYED NABEEL MUSTAFA</t>
  </si>
  <si>
    <t xml:space="preserve">ABEER ZARA </t>
  </si>
  <si>
    <t xml:space="preserve">M. AHSAN BAIG </t>
  </si>
  <si>
    <t>ABDUL WASAY HASAN</t>
  </si>
  <si>
    <t>HAREEM FATIMA</t>
  </si>
  <si>
    <t>MOHAMMAD HASAN ASLAM</t>
  </si>
  <si>
    <t>IMRAN</t>
  </si>
  <si>
    <t>FABIHA NAVEED JABBAR</t>
  </si>
  <si>
    <t>MUHAMMAD NAVEED JABBAR</t>
  </si>
  <si>
    <t xml:space="preserve">ABDUS SUBHAN KHURRAM </t>
  </si>
  <si>
    <t>KHURRAM MOHSIN</t>
  </si>
  <si>
    <t>SABEEN SAEED PIRZADA</t>
  </si>
  <si>
    <t>SAEEDUDDIN PIRZADA</t>
  </si>
  <si>
    <t>SYED MUHAMMAD SAIM HUSSAIN ZAIDI</t>
  </si>
  <si>
    <t>SYED KASHIF HUSSAIN ZAIDI</t>
  </si>
  <si>
    <t>ZAVIYAR SHAH</t>
  </si>
  <si>
    <t>AMMAR SHAH</t>
  </si>
  <si>
    <t>scholarship</t>
  </si>
  <si>
    <t xml:space="preserve">MUHAMMAD RAYYAN </t>
  </si>
  <si>
    <t xml:space="preserve">ADEEL KHAN </t>
  </si>
  <si>
    <t xml:space="preserve">SYED ZULFIQAR ALI </t>
  </si>
  <si>
    <t>SYED HASSAN ALI</t>
  </si>
  <si>
    <t>MUHAMMAD ASHTAR MIRZA</t>
  </si>
  <si>
    <t>ZOHAIB MIRZA</t>
  </si>
  <si>
    <t>F.E.</t>
  </si>
  <si>
    <t>SYED IBRAHIM AHMED</t>
  </si>
  <si>
    <t>001</t>
  </si>
  <si>
    <t>JR-V</t>
  </si>
  <si>
    <t>INAAYA ARIF</t>
  </si>
  <si>
    <t>003</t>
  </si>
  <si>
    <t>FAAKIHA SHAH</t>
  </si>
  <si>
    <t>OWAIS AHMAD SHAH</t>
  </si>
  <si>
    <t>010</t>
  </si>
  <si>
    <t>ZUNAIRA SHAMIM KHAN</t>
  </si>
  <si>
    <t>SHAMIM AHMED KHAN</t>
  </si>
  <si>
    <t>ABDUL AHAD</t>
  </si>
  <si>
    <t xml:space="preserve">RAJA NAVEED KHAN </t>
  </si>
  <si>
    <t>0021</t>
  </si>
  <si>
    <t>IBRAHIM SALEEM</t>
  </si>
  <si>
    <t>SALEEM QURESHI</t>
  </si>
  <si>
    <t>AYESHA AFTAB</t>
  </si>
  <si>
    <t xml:space="preserve">AFTAB AHMED </t>
  </si>
  <si>
    <t xml:space="preserve">ZAYAN AHMED </t>
  </si>
  <si>
    <t xml:space="preserve">AHMER TARIQ </t>
  </si>
  <si>
    <t>0022</t>
  </si>
  <si>
    <t>ABDUL HADI</t>
  </si>
  <si>
    <t>MUHAMMAD SAMI FAROOQ</t>
  </si>
  <si>
    <t xml:space="preserve">AMAL ZAHRA </t>
  </si>
  <si>
    <t xml:space="preserve">SHAIKH TAUSEEF </t>
  </si>
  <si>
    <t>FAIQ FEROZ</t>
  </si>
  <si>
    <t>SYED MOOSA ALI</t>
  </si>
  <si>
    <t xml:space="preserve">SYED FEHAM ALI </t>
  </si>
  <si>
    <t>HUSBAN SALAM</t>
  </si>
  <si>
    <t>SOBAN SALAM</t>
  </si>
  <si>
    <t>MUHAMMAD SUBHAN DANISH</t>
  </si>
  <si>
    <t>DANISH SAJJAD</t>
  </si>
  <si>
    <t>ZUNAIRAH HUSSAIN</t>
  </si>
  <si>
    <t>AMAD IRSHAD HUSSAIN</t>
  </si>
  <si>
    <t>MUHAMMAD MOOSA SAQIB</t>
  </si>
  <si>
    <t>MUHAMMAD SAQIB ALI</t>
  </si>
  <si>
    <t>AHMED RAZA</t>
  </si>
  <si>
    <t>ISKANDER ZEESHAN</t>
  </si>
  <si>
    <t>MUHAMMAD SARIM</t>
  </si>
  <si>
    <t>ADNAN HUSSAIN</t>
  </si>
  <si>
    <t>MUHAMMAD HASSAAN</t>
  </si>
  <si>
    <t>IMRAN MANAN SHAIKH</t>
  </si>
  <si>
    <t>005</t>
  </si>
  <si>
    <t>SR-I</t>
  </si>
  <si>
    <t>MUHAMMAD KHIZER RAIS</t>
  </si>
  <si>
    <t>CHAUDHARY RAIS</t>
  </si>
  <si>
    <t>MOHSIN ALI</t>
  </si>
  <si>
    <t>SIMRA SHAKIR</t>
  </si>
  <si>
    <t>SHAKIR HAYAT</t>
  </si>
  <si>
    <t>MALAIKA SIDDIQUI</t>
  </si>
  <si>
    <t>MOHSIN AHMED SIDDIQUI</t>
  </si>
  <si>
    <t>MUHAMMAD IBRAHIM FARIDI</t>
  </si>
  <si>
    <t>MUHAMMAD ATIF FARIDI</t>
  </si>
  <si>
    <t>FAST TRACK</t>
  </si>
  <si>
    <t>MUHAMMAD HARIS QAZI</t>
  </si>
  <si>
    <t>REHMATULLAH QAZI</t>
  </si>
  <si>
    <t>MUHAMMAD ARHAM KHAN</t>
  </si>
  <si>
    <t>LIST OF SINGLE CHILD JR-II</t>
  </si>
  <si>
    <t>BRECKUP OF FEE STRUCTURE FROM 2023 TILL 2026</t>
  </si>
  <si>
    <t>MUHAMMAD MOOSA</t>
  </si>
  <si>
    <t xml:space="preserve">USAMA BIN WASIF </t>
  </si>
  <si>
    <t>AYAN SHAMOIL</t>
  </si>
  <si>
    <t>SHAMOIL RAFIQ</t>
  </si>
  <si>
    <t>DAANEEN ZEHRA</t>
  </si>
  <si>
    <t>TANVEER AHMED</t>
  </si>
  <si>
    <t>AQSE ZEHRA</t>
  </si>
  <si>
    <t>ADNAN</t>
  </si>
  <si>
    <t>MUHAMMAD MUJTABA</t>
  </si>
  <si>
    <t>ARSLAN MUSTAFA</t>
  </si>
  <si>
    <t>AJWA SAMAD</t>
  </si>
  <si>
    <t xml:space="preserve">ABDUL SAMAD SHAIKH </t>
  </si>
  <si>
    <t>SYED HASAN</t>
  </si>
  <si>
    <t>SHAH RAJAB</t>
  </si>
  <si>
    <t>SYED AHNAF SAMI</t>
  </si>
  <si>
    <t>SYED SAMI ZIA</t>
  </si>
  <si>
    <t>MUHAMMAD SARIM WASEEM</t>
  </si>
  <si>
    <t>MUHAMMAD WASEEM ASLAM</t>
  </si>
  <si>
    <t>SAHAB HUSSAIN</t>
  </si>
  <si>
    <t xml:space="preserve">NAIB ALI </t>
  </si>
  <si>
    <t>SALMAN AHMED</t>
  </si>
  <si>
    <t>ABDUS SALAM</t>
  </si>
  <si>
    <t>JAWAAD JAWED</t>
  </si>
  <si>
    <t>ESHAAL HUSSAIN</t>
  </si>
  <si>
    <t>GHALIB HUSSAIN</t>
  </si>
  <si>
    <t>AHMED FAROOQ</t>
  </si>
  <si>
    <t>ADIL FAROOQ</t>
  </si>
  <si>
    <t xml:space="preserve">HANIYA AYAZ </t>
  </si>
  <si>
    <t xml:space="preserve">AYAZ AHMED </t>
  </si>
  <si>
    <t>MUHAMMAD RAYYAN ALI</t>
  </si>
  <si>
    <t>WAJAHAT ALI</t>
  </si>
  <si>
    <t>HAMMAD RAZA</t>
  </si>
  <si>
    <t>REHMAN ALI</t>
  </si>
  <si>
    <t>HOORAIN MEHVER</t>
  </si>
  <si>
    <t>SAEED ALI</t>
  </si>
  <si>
    <t>SYEDA MOMINA AZMAT</t>
  </si>
  <si>
    <t xml:space="preserve">SYED AZMAT AHMED </t>
  </si>
  <si>
    <t>SYEDA ANAYA NAUSHAD</t>
  </si>
  <si>
    <t>SYED MUHAMMAD NAUSHAD ZAFAR</t>
  </si>
  <si>
    <t>MUHAMMAD MUSTAFA</t>
  </si>
  <si>
    <t>ABDUL GHAFOOR</t>
  </si>
  <si>
    <t>MUHAMMAD ZOHAAN KHAN</t>
  </si>
  <si>
    <t xml:space="preserve">MUHAMMAD MAAZ KHAN </t>
  </si>
  <si>
    <t>MUHAMMAD ASHFAQ</t>
  </si>
  <si>
    <t>LIST OF SINGLE CHILD JR-III</t>
  </si>
  <si>
    <t>SYEDA TASKEEN ZEHRA</t>
  </si>
  <si>
    <t>SYED NAWAZ ALI SHAH</t>
  </si>
  <si>
    <t>INAAYA IKRAM</t>
  </si>
  <si>
    <t xml:space="preserve">IKRAM AHMED </t>
  </si>
  <si>
    <t>HOORAIN HAMMAD</t>
  </si>
  <si>
    <t>MIRZA HAMMAD BAIG</t>
  </si>
  <si>
    <t>SCARLETT</t>
  </si>
  <si>
    <t>SALMAN</t>
  </si>
  <si>
    <t>AYAT ATIF</t>
  </si>
  <si>
    <t>MUHAMMAD ATIF NAQVI</t>
  </si>
  <si>
    <t>MUHAMMAD AZEEM</t>
  </si>
  <si>
    <t xml:space="preserve">IBRAHIM AHMED </t>
  </si>
  <si>
    <t>FAISAL AHMED FAROOQUI</t>
  </si>
  <si>
    <t>KIRSH KUMAR</t>
  </si>
  <si>
    <t>ASHOK KUMAR</t>
  </si>
  <si>
    <t>MUHAMMAD IBRAHIM KHAN</t>
  </si>
  <si>
    <t>UMAIR MAQSOOD</t>
  </si>
  <si>
    <t>MUHAMMAD HUSNAIN</t>
  </si>
  <si>
    <t>MUKHTIYAR ALI SAMITO</t>
  </si>
  <si>
    <t xml:space="preserve">MUHAMMAD JUNAID </t>
  </si>
  <si>
    <t>AAMIR ALI SHAIKH</t>
  </si>
  <si>
    <t>SYEDA ZAINAB ZEHRA</t>
  </si>
  <si>
    <t>SYED MUSTAFA RIZVI</t>
  </si>
  <si>
    <t>AYESHA</t>
  </si>
  <si>
    <t>ABDUL WAHAB</t>
  </si>
  <si>
    <t>ZUWAIINAH HAMZA</t>
  </si>
  <si>
    <t>HAMZA KHALIL</t>
  </si>
  <si>
    <t>KHADIJAH SULEMAN</t>
  </si>
  <si>
    <t>MIRZA SULEMAN</t>
  </si>
  <si>
    <t xml:space="preserve"> </t>
  </si>
  <si>
    <t>MUHAMMAD HASSAAN KHAN</t>
  </si>
  <si>
    <t>MUHAMMAD AKHLAQ KHAN</t>
  </si>
  <si>
    <t>ABDUL SUBHAN KHAN</t>
  </si>
  <si>
    <t xml:space="preserve">ABDUL RAFAY KHAN </t>
  </si>
  <si>
    <t>AYAN ALI</t>
  </si>
  <si>
    <t>ABID HUSSAIN</t>
  </si>
  <si>
    <t>MOHSIN ALEEM</t>
  </si>
  <si>
    <t>LIST OF SINGLE CHILD JR-IV</t>
  </si>
  <si>
    <t>MUHAMMAD UMAR</t>
  </si>
  <si>
    <t>MUHAMMAD ASIF</t>
  </si>
  <si>
    <t>MOBINUDDIN</t>
  </si>
  <si>
    <t>MANZOOR ALI</t>
  </si>
  <si>
    <t>MOHAMMAD QASIM</t>
  </si>
  <si>
    <t>QASIM KHALILULLAH</t>
  </si>
  <si>
    <t>SIDRATUL MUNTAHA</t>
  </si>
  <si>
    <t>IMRAN AHMED SOOMRO</t>
  </si>
  <si>
    <t>SYEDA SUKAINA FATIMA RIZVI</t>
  </si>
  <si>
    <t>SYED ALEY HASAN RIZVI</t>
  </si>
  <si>
    <t>MUHAMMAD ROHAAN</t>
  </si>
  <si>
    <t>TAAHA MUNEER</t>
  </si>
  <si>
    <t>RUMAISA</t>
  </si>
  <si>
    <t>ABID MEER</t>
  </si>
  <si>
    <t>PAID WHOLE SESSION 2025-26</t>
  </si>
  <si>
    <t>ABRISH FATIMA</t>
  </si>
  <si>
    <t xml:space="preserve">UMAIR AHMED FAROOQ </t>
  </si>
  <si>
    <t xml:space="preserve">AMNA FATIMA </t>
  </si>
  <si>
    <t>ANABIA IMRAN</t>
  </si>
  <si>
    <t>ZAINAB RAZA</t>
  </si>
  <si>
    <t xml:space="preserve">MUHAMMAD ZAYYAN ALI </t>
  </si>
  <si>
    <t>ABDUL BARI</t>
  </si>
  <si>
    <t xml:space="preserve">SYED ARHAM </t>
  </si>
  <si>
    <t xml:space="preserve">SYED UMAIR </t>
  </si>
  <si>
    <t>LIST OF SINGLE CHILD JR-V</t>
  </si>
  <si>
    <t>SARAH SHAIKH</t>
  </si>
  <si>
    <t>SHAIKH MUHAMMAD AMEER HAMZA</t>
  </si>
  <si>
    <t>ZAINAB BALOCH</t>
  </si>
  <si>
    <t>ATHAR HUSSAIN BALOCH</t>
  </si>
  <si>
    <t>ANABIA FAIZAN MINHAS</t>
  </si>
  <si>
    <t>MUHAMMAD FAIZAN ABID MINHAS</t>
  </si>
  <si>
    <t>ABDULLAH FAISAL</t>
  </si>
  <si>
    <t>FAISAL BASHIR</t>
  </si>
  <si>
    <t>ANNAYA AHMED</t>
  </si>
  <si>
    <t>AHMED KAMAL</t>
  </si>
  <si>
    <t>ANAYAA SALMAN</t>
  </si>
  <si>
    <t>SALMAN AHSAN</t>
  </si>
  <si>
    <t>MUHAMMAD ZAIN HASHMI</t>
  </si>
  <si>
    <t>FARHAN HASHMI</t>
  </si>
  <si>
    <t>MUHIB MUSTAFA</t>
  </si>
  <si>
    <t xml:space="preserve">ZEESHAN AHMED </t>
  </si>
  <si>
    <t>MUSTAFAIN GULL</t>
  </si>
  <si>
    <t>AFRAZ GULL</t>
  </si>
  <si>
    <t>MUHAMMAD HUNAID -UL- HAQUE</t>
  </si>
  <si>
    <t>MUHAMMAD ASIF -UL- HAQUE</t>
  </si>
  <si>
    <t>MUHAMMAD HASSAN ALI</t>
  </si>
  <si>
    <t>MUHAMMAD NAVEED ASLAM</t>
  </si>
  <si>
    <t>SAIFULLAH MUNIR</t>
  </si>
  <si>
    <t>PRINCE ATIF</t>
  </si>
  <si>
    <t>c</t>
  </si>
  <si>
    <t>SYED HUNAIN AHMED</t>
  </si>
  <si>
    <t xml:space="preserve">SYED UMAIR AHMED </t>
  </si>
  <si>
    <t>ABDUL RAZZAQ</t>
  </si>
  <si>
    <t xml:space="preserve">KAMRAN ALI </t>
  </si>
  <si>
    <t>MISHFA SHOAIB</t>
  </si>
  <si>
    <t>SHOAIB KHAN</t>
  </si>
  <si>
    <t xml:space="preserve">HIBA AHMED </t>
  </si>
  <si>
    <t>MINAHIL FATIMA</t>
  </si>
  <si>
    <t xml:space="preserve">UMAIR HASHMAT ALI </t>
  </si>
  <si>
    <t>MINAAL MEHMOOD</t>
  </si>
  <si>
    <t>TUAHA MEHMOOD</t>
  </si>
  <si>
    <t xml:space="preserve">SYED SHAYAAN ALI </t>
  </si>
  <si>
    <t xml:space="preserve">SYED DANISH ALI </t>
  </si>
  <si>
    <t xml:space="preserve">MUHAMMAD SHAHEER KHAN NIAZI </t>
  </si>
  <si>
    <t>KHURRAM KHAN NIAZI</t>
  </si>
  <si>
    <t>ABDUL QADEER SHAIKH</t>
  </si>
  <si>
    <t>ABDUL QADIR</t>
  </si>
  <si>
    <t xml:space="preserve">LIST OF SINGLE CHILD SR-I </t>
  </si>
  <si>
    <t>KRITIKA RAI OAD</t>
  </si>
  <si>
    <t>BAHADUR OAD</t>
  </si>
  <si>
    <t>16575</t>
  </si>
  <si>
    <t>AYESHA OMAR</t>
  </si>
  <si>
    <t>OMAR JAVAID</t>
  </si>
  <si>
    <t>19975</t>
  </si>
  <si>
    <t>14975</t>
  </si>
  <si>
    <t>RABIHAH ANOOSH</t>
  </si>
  <si>
    <t>WASIMUS SAYYADAIN QASMI</t>
  </si>
  <si>
    <t>SCHOLARHIP</t>
  </si>
  <si>
    <t>SCHOLARSHIP</t>
  </si>
  <si>
    <t>DANIA MUBASHIR</t>
  </si>
  <si>
    <t>MUBASHIR AHMED</t>
  </si>
  <si>
    <t xml:space="preserve">ZAINA BATOOL </t>
  </si>
  <si>
    <t>BASIT ABBAS</t>
  </si>
  <si>
    <t>UMAIMA IMTIAZ</t>
  </si>
  <si>
    <t>IMTIAZ ALI</t>
  </si>
  <si>
    <t>ZAINAB FARHAN</t>
  </si>
  <si>
    <t>FARHAN AKHTAR</t>
  </si>
  <si>
    <t>FAIZ BIBI</t>
  </si>
  <si>
    <t>MUHAMMAD ANWAR</t>
  </si>
  <si>
    <t>ALISHA MAGSI</t>
  </si>
  <si>
    <t>KHALID HUSSAIN MAGSI</t>
  </si>
  <si>
    <t>MANAAL FATIMA</t>
  </si>
  <si>
    <t>RAJA MUHAMMAD FAHIM</t>
  </si>
  <si>
    <t>SAHIL ABBAS</t>
  </si>
  <si>
    <t>INAM ALI</t>
  </si>
  <si>
    <t>ASHER SHAN</t>
  </si>
  <si>
    <t>SHAN QAYYUM</t>
  </si>
  <si>
    <t xml:space="preserve">MUHAMMAD ALI </t>
  </si>
  <si>
    <t xml:space="preserve">MUHAMMAD ISRAIL </t>
  </si>
  <si>
    <t>MUHAMMAD MILHAAN</t>
  </si>
  <si>
    <t>MUHAMMAD SHURAIM</t>
  </si>
  <si>
    <t>FAHEEM KHAN</t>
  </si>
  <si>
    <t>MUHAMMAD ARHAM</t>
  </si>
  <si>
    <t>MUHAMMAD ADNAN</t>
  </si>
  <si>
    <t>MOHAMMAD AZAAN KATH</t>
  </si>
  <si>
    <t>ABDUL MATEEN KATH</t>
  </si>
  <si>
    <t>IBRAHIM FAISAL</t>
  </si>
  <si>
    <t>FAISAL NASEEM</t>
  </si>
  <si>
    <t>MUHAMMAD ISMAIL</t>
  </si>
  <si>
    <t>ABDUL REHMAN</t>
  </si>
  <si>
    <t xml:space="preserve">RAHIM ALI </t>
  </si>
  <si>
    <t xml:space="preserve">ALI AHMED </t>
  </si>
  <si>
    <t xml:space="preserve">FARIZ KHAN </t>
  </si>
  <si>
    <t xml:space="preserve">WAJAHAT KHAN </t>
  </si>
  <si>
    <t>HANIYA ABDUL NAEEM</t>
  </si>
  <si>
    <t>ABDUL NAEEM SHAIKH</t>
  </si>
  <si>
    <t>HASSAN RAZA</t>
  </si>
  <si>
    <t xml:space="preserve">AZHAR IQBAL </t>
  </si>
  <si>
    <t>SYED MUHAMMAD ALI HAIDER</t>
  </si>
  <si>
    <t>SYED ZEESHAN HAIDER</t>
  </si>
  <si>
    <t xml:space="preserve">ZAHRA </t>
  </si>
  <si>
    <t>NAZIM ALI</t>
  </si>
  <si>
    <t>ESHAAL SHAIKH</t>
  </si>
  <si>
    <t>SHAHZAD ALI SHAIKH</t>
  </si>
  <si>
    <t>AIMAL ABID</t>
  </si>
  <si>
    <t>ASIM ABID</t>
  </si>
  <si>
    <t>03</t>
  </si>
  <si>
    <t>AHMED RAZA ADNAN</t>
  </si>
  <si>
    <t>ADNAN MUKATI</t>
  </si>
  <si>
    <t>MUHAMMAD MOIZ ABRO</t>
  </si>
  <si>
    <t>WAZIR ALI ABRO</t>
  </si>
  <si>
    <t>MUSTAFA AHMED USMANI</t>
  </si>
  <si>
    <t>MUJIB AHMED USMANI</t>
  </si>
  <si>
    <t>ABDULLAH CHISHTI</t>
  </si>
  <si>
    <t>TARIQ CHISHTI</t>
  </si>
  <si>
    <t>LIST OF SINGLE CHILD SR-II</t>
  </si>
  <si>
    <t>FATIMA</t>
  </si>
  <si>
    <t>MUHAMMAD IRFAN KATH</t>
  </si>
  <si>
    <t>ESHAAL FAHEEM</t>
  </si>
  <si>
    <t>FAHEEM SHAHID</t>
  </si>
  <si>
    <t xml:space="preserve">AIZA ARIF </t>
  </si>
  <si>
    <t xml:space="preserve">SYED ARIF ALI ADIL </t>
  </si>
  <si>
    <t>HAREEM SIDDIQUI</t>
  </si>
  <si>
    <t>IRFAN-UDDIN SIDDIQUI</t>
  </si>
  <si>
    <t>SYED ABDUL NAFAY SHAH</t>
  </si>
  <si>
    <t>SYED FAREED AHMED SHAH</t>
  </si>
  <si>
    <t>RAYYAN AHMED HAYAT</t>
  </si>
  <si>
    <t>FEROZ HAYAT</t>
  </si>
  <si>
    <t>MUHAMMAD HAMZA</t>
  </si>
  <si>
    <t>NADEEM MUFTI</t>
  </si>
  <si>
    <t>MUHAMMAD ABDUL HADI</t>
  </si>
  <si>
    <t>TAHIR JAMAL MANGI</t>
  </si>
  <si>
    <t>MUHAMMAD ABBAS NADEEM</t>
  </si>
  <si>
    <t>NADEEM JAMEEL</t>
  </si>
  <si>
    <t>MUSTAFA HASAN KHAN</t>
  </si>
  <si>
    <t>ZUHAD AHMED KHAN</t>
  </si>
  <si>
    <t>MUHAMMAD AYAAN</t>
  </si>
  <si>
    <t>SYED MUHAMMAD HUZYL RASHID</t>
  </si>
  <si>
    <t>SYED RASHID NOOR</t>
  </si>
  <si>
    <t>MUHAMMAD UMER IMRAN</t>
  </si>
  <si>
    <t>IMRAN SABIR</t>
  </si>
  <si>
    <t>SYEDA NABA ABBAS</t>
  </si>
  <si>
    <t>SYED FARHAN ABBAS</t>
  </si>
  <si>
    <t>OMAIS SHAH</t>
  </si>
  <si>
    <t>HAMDAN AHMED SIDDIQUI</t>
  </si>
  <si>
    <t xml:space="preserve">DUA FATIMA </t>
  </si>
  <si>
    <t>SYED ASJAD ABIDI</t>
  </si>
  <si>
    <t>ALIZA FATIMA</t>
  </si>
  <si>
    <t>NADIR ALI</t>
  </si>
  <si>
    <t>LIST OF SINGLE CHILD SR-III</t>
  </si>
  <si>
    <t>UMME ABIHA</t>
  </si>
  <si>
    <t>MUHAMMAD RIZWAN</t>
  </si>
  <si>
    <t xml:space="preserve">AYESHA SANAULLAH </t>
  </si>
  <si>
    <t>SANAULLAH SOOMRO</t>
  </si>
  <si>
    <t>MUHAMMAD ZAVIYAAN KHAN</t>
  </si>
  <si>
    <t>NOMAN JAMIL (LATE)</t>
  </si>
  <si>
    <t>AYAAN AHMED KHAN</t>
  </si>
  <si>
    <t>KASHIF AHMED</t>
  </si>
  <si>
    <t>MUHAMMAD QASIM SOOMRO</t>
  </si>
  <si>
    <t>MUHAMMAD QAZAFI SOOMRO</t>
  </si>
  <si>
    <t>MANAL FATIMA</t>
  </si>
  <si>
    <t>MUHAMMAD NAVEED KHAN</t>
  </si>
  <si>
    <t>FIZZAH HUSSAIN</t>
  </si>
  <si>
    <t>YASIR HUSSAIN</t>
  </si>
  <si>
    <t>RIJA ZAIDI</t>
  </si>
  <si>
    <t>SYED MUNEER AKHTAR ZAIDI</t>
  </si>
  <si>
    <t xml:space="preserve">ZAINYA KHAN </t>
  </si>
  <si>
    <t xml:space="preserve">MUNAWAR YAR KHAN </t>
  </si>
  <si>
    <t>MOOSA TARIQ</t>
  </si>
  <si>
    <t>MUHAMMAD MADNI TARIQ</t>
  </si>
  <si>
    <t>MUHAMMAD MAAZ SIDDIQUI</t>
  </si>
  <si>
    <t>MUHAMMAD FAISAL SIDDIQUI</t>
  </si>
  <si>
    <t>ABDULLAH MOORAD</t>
  </si>
  <si>
    <t>MUHAMMAD AZMAT</t>
  </si>
  <si>
    <t>MUHAMMAD FAREESSUDDIN</t>
  </si>
  <si>
    <t>AZEEMUDDIN DANISH</t>
  </si>
  <si>
    <t>SYED ARIZ</t>
  </si>
  <si>
    <t>SYED UMAIR</t>
  </si>
  <si>
    <t>M. AAYAN KASHIF</t>
  </si>
  <si>
    <t>MUHAMMAD KASHIF BARI</t>
  </si>
  <si>
    <t>ABDUL NAFAE SHAIKH</t>
  </si>
  <si>
    <t>NAEEMUDDIN SHAIKH</t>
  </si>
  <si>
    <t>IQRA SHAHID</t>
  </si>
  <si>
    <t>MUHAMMAD SHAHID</t>
  </si>
  <si>
    <t>ARHAM ALI</t>
  </si>
  <si>
    <t>MUHAMMAD ALI RASHEED</t>
  </si>
  <si>
    <t>SYED IRTIZA RAZA ZAIDI</t>
  </si>
  <si>
    <t>SYED MONIS RAZA ZAIDI</t>
  </si>
  <si>
    <t>SYED NAWAF ALI</t>
  </si>
  <si>
    <t>HAAKIM ALI</t>
  </si>
  <si>
    <t>IBRAHIM SHAHID ALI</t>
  </si>
  <si>
    <t>SHAHID ALI</t>
  </si>
  <si>
    <t>YOUSUF ALI KHAN</t>
  </si>
  <si>
    <t>RIZWAN ALI KHAN</t>
  </si>
  <si>
    <t xml:space="preserve">SYED AYAN ALI QADIR </t>
  </si>
  <si>
    <t>WAQAS</t>
  </si>
  <si>
    <t>MUHAMMAD AMMAR SHAIKH</t>
  </si>
  <si>
    <t>WARDA BINT SAMIR</t>
  </si>
  <si>
    <t>SYED MOOSA ALI SHAH</t>
  </si>
  <si>
    <t>YAHYA AHMED SIDDIQUI</t>
  </si>
  <si>
    <t xml:space="preserve">MUHAMMAD AFZAL </t>
  </si>
  <si>
    <t>MUHAMMAD DAMEER</t>
  </si>
  <si>
    <t>SYEDA ALIZA BATOOL</t>
  </si>
  <si>
    <t>SYED IMTIAZ HUSSAIN</t>
  </si>
  <si>
    <t>LIST OF SINGLE CHILD O'I</t>
  </si>
  <si>
    <t>SYED SHAHZAIN BUKHARI</t>
  </si>
  <si>
    <t>SYED AWAIS BUKHARI</t>
  </si>
  <si>
    <t xml:space="preserve">ANUMTA SIDDIQUI </t>
  </si>
  <si>
    <t>ABDUL NOUMAN SIDDIQUI</t>
  </si>
  <si>
    <t>BAREERAH ANEES</t>
  </si>
  <si>
    <t>ANEES-UR-REHMAN</t>
  </si>
  <si>
    <t>BHOOMIKA KUMARI</t>
  </si>
  <si>
    <t>KHUSHAL DAS</t>
  </si>
  <si>
    <t xml:space="preserve">HANIYA ZEHRA </t>
  </si>
  <si>
    <t xml:space="preserve">WAHAJ AHMED KHAN </t>
  </si>
  <si>
    <t>AYAN KAMRAN</t>
  </si>
  <si>
    <t>KAMRAN IRSHAD KHAN</t>
  </si>
  <si>
    <t>SYED FAROOQ AHMED</t>
  </si>
  <si>
    <t>SYED FARRUKH BIN SAGHEER</t>
  </si>
  <si>
    <t>MUHAMMAD BIN IMRAN</t>
  </si>
  <si>
    <t>IMRAN ZAHEER</t>
  </si>
  <si>
    <t>MUHAMMAD HAMZA KHAN</t>
  </si>
  <si>
    <t>SHAHID ALI KHAN</t>
  </si>
  <si>
    <t xml:space="preserve">SYED MUHAMMAD MASEL </t>
  </si>
  <si>
    <t xml:space="preserve">SYED MUHAMMAD WAJAHAT </t>
  </si>
  <si>
    <t>MUHAMMAD IBRAHIM ATHER</t>
  </si>
  <si>
    <t>MUHAMMAD ATHER SHAHZAD</t>
  </si>
  <si>
    <t>HUZAIFA ZEESHAN</t>
  </si>
  <si>
    <t>ZEESHAN</t>
  </si>
  <si>
    <t>ABDULLAH AHMED</t>
  </si>
  <si>
    <t>SHAYAN AHMED</t>
  </si>
  <si>
    <t>FILZA</t>
  </si>
  <si>
    <t>SHARIFULLAH</t>
  </si>
  <si>
    <t>RAMISH REHMAN</t>
  </si>
  <si>
    <t>ZIAUREHMAN</t>
  </si>
  <si>
    <t>SYED M SALIK GABA</t>
  </si>
  <si>
    <t>KHUZAIMA GAMA</t>
  </si>
  <si>
    <t>INAYA SHAHWAIZ</t>
  </si>
  <si>
    <t>SHAHWAIZ AHMED</t>
  </si>
  <si>
    <t>AHMED KHAN JADOON</t>
  </si>
  <si>
    <t>FAHAD KHAN JADOON</t>
  </si>
  <si>
    <t>MUHAMMAD SHAYAN USMANI</t>
  </si>
  <si>
    <t>RAYYAN KHAN</t>
  </si>
  <si>
    <t>KUNWAR M AZAN</t>
  </si>
  <si>
    <t xml:space="preserve">SYED ALI ABBAS ZAKI </t>
  </si>
  <si>
    <t xml:space="preserve">WAHAJ RIAZ </t>
  </si>
  <si>
    <t xml:space="preserve">MAHAM KHAN </t>
  </si>
  <si>
    <t>AYESHA KHURRAM</t>
  </si>
  <si>
    <t xml:space="preserve">SUNAIN SHAHID </t>
  </si>
  <si>
    <t>SYED RAHIM HASAN</t>
  </si>
  <si>
    <t>MARYAM NAWAL</t>
  </si>
  <si>
    <t>RINKAL RANI</t>
  </si>
  <si>
    <t>AYESHA AFTAB MUGHEERI</t>
  </si>
  <si>
    <t>AFTAB AHMED MUGHEERI</t>
  </si>
  <si>
    <t>LIST OF SINGLE CHILD O'II</t>
  </si>
  <si>
    <t>MUHAMMAD HUSSAIN MEENAI</t>
  </si>
  <si>
    <t>YASEEN AHMED MEENAI</t>
  </si>
  <si>
    <t>SYEDA AMAL BATOOL</t>
  </si>
  <si>
    <t>MUHAMMAD ALI RIZVI</t>
  </si>
  <si>
    <t>MEHEK MUSHTAQ</t>
  </si>
  <si>
    <t>MUSHTAQ GHANI</t>
  </si>
  <si>
    <t>SUBHAN JAWED</t>
  </si>
  <si>
    <t>JAWED HAROON</t>
  </si>
  <si>
    <t>SYED MUHAMMAD OMER</t>
  </si>
  <si>
    <t>SYED MUHAMMAD KASHIF</t>
  </si>
  <si>
    <t xml:space="preserve">ROHAN LATIF </t>
  </si>
  <si>
    <t xml:space="preserve">LATIF AHMED </t>
  </si>
  <si>
    <t>MIRZA IRTIZA BAIG</t>
  </si>
  <si>
    <t>MIRZA ARSHAD BAIG</t>
  </si>
  <si>
    <t xml:space="preserve">SABA TALHA </t>
  </si>
  <si>
    <t xml:space="preserve">MUHAMMAD TALHA </t>
  </si>
  <si>
    <t>ESHA FAHIM</t>
  </si>
  <si>
    <t>FAHIM AHMED FAROOQUI</t>
  </si>
  <si>
    <t xml:space="preserve">AFFAN AHMED </t>
  </si>
  <si>
    <t>ENAYA FATIMA</t>
  </si>
  <si>
    <t>S.M ABDULLAH MUDUDI</t>
  </si>
  <si>
    <t>AROUSH KHAN</t>
  </si>
  <si>
    <t>MUHAMMAD HUZAIFA</t>
  </si>
  <si>
    <t xml:space="preserve">MUHAMMAD SHAYAN KHAN </t>
  </si>
  <si>
    <t>PAID WHOLE SESSION 2024-25</t>
  </si>
  <si>
    <t>ARHAAN MUMTAZ KHOKHAR</t>
  </si>
  <si>
    <t xml:space="preserve">MARYAM SHABIR </t>
  </si>
  <si>
    <t>SYED ALI NAQI NAQVI</t>
  </si>
  <si>
    <t>SYED ABDUL AHAD IRFAN</t>
  </si>
  <si>
    <t xml:space="preserve">ALIYAN HAIDER KHAN </t>
  </si>
  <si>
    <t xml:space="preserve">ASADULLAH KHAN </t>
  </si>
  <si>
    <t>ISHAAL AMIR</t>
  </si>
  <si>
    <t>AMIR MAAZ</t>
  </si>
  <si>
    <t>ALISHBA SHAKEEL</t>
  </si>
  <si>
    <t>MUHAMMAD SHAKEEL AKHTAR</t>
  </si>
  <si>
    <t>TABISH ALI</t>
  </si>
  <si>
    <t>ZULFIQAR HUSSAIN MEMON</t>
  </si>
  <si>
    <t>MEHAR ALI</t>
  </si>
  <si>
    <t>JAMSHED ALI</t>
  </si>
  <si>
    <t>LIST OF SINGLE CHILD O'III</t>
  </si>
  <si>
    <t>MAHAVEER</t>
  </si>
  <si>
    <t>DR. SANTOSH KUMAR</t>
  </si>
  <si>
    <t>AZIZ AHMED</t>
  </si>
  <si>
    <t>ABDUL BASIT</t>
  </si>
  <si>
    <t>SHAHEER AHMED</t>
  </si>
  <si>
    <t>AKHLAQ AHMED</t>
  </si>
  <si>
    <t>MUHAMMAD SHAHZIL ZULFIQAR</t>
  </si>
  <si>
    <t>ZULFIQAR ALI</t>
  </si>
  <si>
    <t>MUHAMMAD HAMZA IRFAN</t>
  </si>
  <si>
    <t>IRFAN ALI GHOMRO</t>
  </si>
  <si>
    <t>MUHAMMAD HAZIQ</t>
  </si>
  <si>
    <t xml:space="preserve">DOST MUHAMMAD </t>
  </si>
  <si>
    <t>SIMRA</t>
  </si>
  <si>
    <t>MUHAMMAD ZAFAR</t>
  </si>
  <si>
    <t>ALISHA RAZA LARIK</t>
  </si>
  <si>
    <t>RAZA HUSSAIN</t>
  </si>
  <si>
    <t>ANOUSHEY HASAN KHAN</t>
  </si>
  <si>
    <t>MUHAMMAD MASUD-UL-HASAN</t>
  </si>
  <si>
    <t>AHMED USMAN</t>
  </si>
  <si>
    <t xml:space="preserve">ASHFAQ AHMED </t>
  </si>
  <si>
    <t>KONAIN</t>
  </si>
  <si>
    <t>SYED MUHAMMAD HASNAIN AKHTER RIZVI</t>
  </si>
  <si>
    <t>ZAID HASSAN</t>
  </si>
  <si>
    <t>HASAN FAWAD</t>
  </si>
  <si>
    <t>MUHAMMAD IBADULLAH OWAIS</t>
  </si>
  <si>
    <t xml:space="preserve">OWAIS SABIR </t>
  </si>
  <si>
    <t xml:space="preserve">UMM-E-TAYABA </t>
  </si>
  <si>
    <t>FARMAN ALI</t>
  </si>
  <si>
    <t>ZUNAIRA ARSHAD</t>
  </si>
  <si>
    <t>MAIUM KHAN</t>
  </si>
  <si>
    <t>FABIHA FATIMA</t>
  </si>
  <si>
    <t>MUHAMMAD AHMAD BIN KASHIF</t>
  </si>
  <si>
    <t>SAMEEHA ABDAL</t>
  </si>
  <si>
    <t>ZARYAAN NADEEM</t>
  </si>
  <si>
    <t>ALISHBA PERWAIZ SOOMRO</t>
  </si>
  <si>
    <t>PAID WHOLE SESSION FEES</t>
  </si>
  <si>
    <t xml:space="preserve">SYED MUHAMMAD HUR AHSAN </t>
  </si>
  <si>
    <t>HAKEEM SYED YAWAR AHSAN NAQVI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</si>
</sst>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color theme="1"/>
      <name val="Calibri"/>
      <scheme val="minor"/>
    </font>
    <font>
      <b/>
      <sz val="18.0"/>
      <color theme="1"/>
      <name val="TemplateCapsSSK"/>
    </font>
    <font>
      <sz val="11.0"/>
      <color theme="1"/>
      <name val="Calibri"/>
    </font>
    <font>
      <sz val="8.0"/>
      <color theme="1"/>
      <name val="Arial"/>
    </font>
    <font>
      <b/>
      <sz val="16.0"/>
      <color theme="1"/>
      <name val="TemplateCapsSSK"/>
    </font>
    <font>
      <b/>
      <sz val="14.0"/>
      <color theme="1"/>
      <name val="TemplateCapsSSK"/>
    </font>
    <font/>
    <font>
      <b/>
      <sz val="8.0"/>
      <color theme="1"/>
      <name val="Arial"/>
    </font>
    <font>
      <b/>
      <sz val="11.0"/>
      <color theme="1"/>
      <name val="Calibri"/>
    </font>
    <font>
      <sz val="7.0"/>
      <color theme="1"/>
      <name val="Arial"/>
    </font>
    <font>
      <sz val="7.0"/>
      <color theme="1"/>
      <name val="Calibri"/>
    </font>
    <font>
      <sz val="7.0"/>
      <color rgb="FF000000"/>
      <name val="Calibri"/>
    </font>
    <font>
      <sz val="8.0"/>
      <color theme="1"/>
      <name val="Calibri"/>
    </font>
    <font>
      <sz val="12.0"/>
      <color theme="1"/>
      <name val="Calibri"/>
    </font>
    <font>
      <sz val="10.0"/>
      <color theme="1"/>
      <name val="Arial"/>
    </font>
    <font>
      <sz val="9.0"/>
      <color theme="1"/>
      <name val="Arial"/>
    </font>
    <font>
      <b/>
      <sz val="7.0"/>
      <color theme="1"/>
      <name val="Arial"/>
    </font>
    <font>
      <sz val="7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64">
    <border/>
    <border>
      <left style="thin">
        <color rgb="FF000000"/>
      </lef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theme="1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medium">
        <color theme="1"/>
      </left>
      <top style="medium">
        <color theme="1"/>
      </top>
      <bottom style="thin">
        <color rgb="FF000000"/>
      </bottom>
    </border>
    <border>
      <top style="medium">
        <color theme="1"/>
      </top>
      <bottom style="thin">
        <color rgb="FF000000"/>
      </bottom>
    </border>
    <border>
      <right style="medium">
        <color rgb="FF000000"/>
      </right>
      <top style="medium">
        <color theme="1"/>
      </top>
      <bottom style="thin">
        <color rgb="FF000000"/>
      </bottom>
    </border>
    <border>
      <left style="medium">
        <color rgb="FF000000"/>
      </left>
      <top style="medium">
        <color theme="1"/>
      </top>
      <bottom style="thin">
        <color rgb="FF000000"/>
      </bottom>
    </border>
    <border>
      <right/>
      <top style="medium">
        <color theme="1"/>
      </top>
      <bottom style="thin">
        <color rgb="FF000000"/>
      </bottom>
    </border>
    <border>
      <left/>
      <top style="medium">
        <color theme="1"/>
      </top>
      <bottom style="thin">
        <color rgb="FF000000"/>
      </bottom>
    </border>
    <border>
      <right style="thin">
        <color rgb="FF000000"/>
      </right>
      <top style="medium">
        <color theme="1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</border>
    <border>
      <left style="medium">
        <color theme="1"/>
      </left>
      <right/>
      <top style="medium">
        <color theme="1"/>
      </top>
      <bottom/>
    </border>
    <border>
      <left/>
      <right/>
      <top style="medium">
        <color theme="1"/>
      </top>
      <bottom/>
    </border>
    <border>
      <left style="medium">
        <color rgb="FF000000"/>
      </left>
      <right/>
      <top style="medium">
        <color theme="1"/>
      </top>
      <bottom/>
    </border>
    <border>
      <left/>
      <right style="thin">
        <color rgb="FF000000"/>
      </right>
      <top style="medium">
        <color theme="1"/>
      </top>
      <bottom/>
    </border>
    <border>
      <left style="thin">
        <color rgb="FF000000"/>
      </left>
      <right style="thin">
        <color rgb="FF000000"/>
      </right>
      <top style="medium">
        <color theme="1"/>
      </top>
      <bottom/>
    </border>
    <border>
      <left style="thin">
        <color rgb="FF000000"/>
      </left>
      <right/>
      <top style="medium">
        <color theme="1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medium">
        <color theme="1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</border>
    <border>
      <left style="medium">
        <color rgb="FF000000"/>
      </left>
      <right style="thin">
        <color theme="1"/>
      </right>
      <top style="thin">
        <color theme="1"/>
      </top>
      <bottom/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0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shrinkToFit="0" vertical="center" wrapText="1"/>
    </xf>
    <xf borderId="1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2" fillId="0" fontId="6" numFmtId="0" xfId="0" applyAlignment="1" applyBorder="1" applyFont="1">
      <alignment horizontal="center" vertical="center"/>
    </xf>
    <xf borderId="2" fillId="0" fontId="7" numFmtId="0" xfId="0" applyBorder="1" applyFont="1"/>
    <xf borderId="1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3" fillId="2" fontId="8" numFmtId="0" xfId="0" applyAlignment="1" applyBorder="1" applyFill="1" applyFont="1">
      <alignment horizontal="center" vertical="center"/>
    </xf>
    <xf borderId="3" fillId="2" fontId="8" numFmtId="0" xfId="0" applyAlignment="1" applyBorder="1" applyFont="1">
      <alignment horizontal="center" shrinkToFit="0" vertical="center" wrapText="1"/>
    </xf>
    <xf borderId="4" fillId="2" fontId="8" numFmtId="14" xfId="0" applyAlignment="1" applyBorder="1" applyFont="1" applyNumberFormat="1">
      <alignment horizontal="center" shrinkToFit="0" vertical="center" wrapText="1"/>
    </xf>
    <xf borderId="5" fillId="0" fontId="7" numFmtId="0" xfId="0" applyBorder="1" applyFont="1"/>
    <xf borderId="6" fillId="0" fontId="7" numFmtId="0" xfId="0" applyBorder="1" applyFont="1"/>
    <xf borderId="4" fillId="2" fontId="8" numFmtId="0" xfId="0" applyAlignment="1" applyBorder="1" applyFont="1">
      <alignment horizontal="center" vertical="center"/>
    </xf>
    <xf borderId="7" fillId="2" fontId="9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center"/>
    </xf>
    <xf borderId="8" fillId="2" fontId="9" numFmtId="0" xfId="0" applyAlignment="1" applyBorder="1" applyFont="1">
      <alignment horizontal="center" shrinkToFit="0" vertical="center" wrapText="1"/>
    </xf>
    <xf borderId="3" fillId="3" fontId="8" numFmtId="0" xfId="0" applyAlignment="1" applyBorder="1" applyFill="1" applyFont="1">
      <alignment horizontal="center" vertical="center"/>
    </xf>
    <xf borderId="9" fillId="2" fontId="8" numFmtId="14" xfId="0" applyAlignment="1" applyBorder="1" applyFont="1" applyNumberFormat="1">
      <alignment horizontal="center" shrinkToFit="0" vertical="center" wrapText="1"/>
    </xf>
    <xf borderId="10" fillId="2" fontId="8" numFmtId="14" xfId="0" applyAlignment="1" applyBorder="1" applyFont="1" applyNumberFormat="1">
      <alignment horizontal="center" shrinkToFit="0" vertical="center" wrapText="1"/>
    </xf>
    <xf borderId="3" fillId="3" fontId="8" numFmtId="14" xfId="0" applyAlignment="1" applyBorder="1" applyFont="1" applyNumberFormat="1">
      <alignment horizontal="center" shrinkToFit="0" vertical="center" wrapText="1"/>
    </xf>
    <xf borderId="11" fillId="2" fontId="8" numFmtId="14" xfId="0" applyAlignment="1" applyBorder="1" applyFont="1" applyNumberFormat="1">
      <alignment horizontal="center" shrinkToFit="0" vertical="center" wrapText="1"/>
    </xf>
    <xf borderId="3" fillId="0" fontId="3" numFmtId="0" xfId="0" applyBorder="1" applyFont="1"/>
    <xf borderId="12" fillId="2" fontId="8" numFmtId="0" xfId="0" applyAlignment="1" applyBorder="1" applyFont="1">
      <alignment horizontal="center" vertical="center"/>
    </xf>
    <xf borderId="3" fillId="3" fontId="10" numFmtId="0" xfId="0" applyAlignment="1" applyBorder="1" applyFont="1">
      <alignment horizontal="center" vertical="center"/>
    </xf>
    <xf borderId="3" fillId="3" fontId="10" numFmtId="0" xfId="0" applyAlignment="1" applyBorder="1" applyFont="1">
      <alignment shrinkToFit="0" vertical="center" wrapText="1"/>
    </xf>
    <xf borderId="3" fillId="3" fontId="10" numFmtId="0" xfId="0" applyAlignment="1" applyBorder="1" applyFont="1">
      <alignment horizontal="left" shrinkToFit="0" vertical="center" wrapText="1"/>
    </xf>
    <xf borderId="13" fillId="2" fontId="8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/>
    </xf>
    <xf borderId="14" fillId="0" fontId="8" numFmtId="14" xfId="0" applyAlignment="1" applyBorder="1" applyFont="1" applyNumberFormat="1">
      <alignment horizontal="center" shrinkToFit="0" vertical="center" wrapText="1"/>
    </xf>
    <xf borderId="15" fillId="0" fontId="8" numFmtId="14" xfId="0" applyAlignment="1" applyBorder="1" applyFont="1" applyNumberFormat="1">
      <alignment horizontal="center" shrinkToFit="0" vertical="center" wrapText="1"/>
    </xf>
    <xf borderId="16" fillId="0" fontId="8" numFmtId="14" xfId="0" applyAlignment="1" applyBorder="1" applyFont="1" applyNumberFormat="1">
      <alignment horizontal="center" shrinkToFit="0" vertical="center" wrapText="1"/>
    </xf>
    <xf borderId="3" fillId="0" fontId="11" numFmtId="0" xfId="0" applyBorder="1" applyFont="1"/>
    <xf borderId="17" fillId="0" fontId="8" numFmtId="14" xfId="0" applyAlignment="1" applyBorder="1" applyFont="1" applyNumberFormat="1">
      <alignment horizontal="center" vertical="center"/>
    </xf>
    <xf borderId="18" fillId="3" fontId="10" numFmtId="0" xfId="0" applyAlignment="1" applyBorder="1" applyFont="1">
      <alignment horizontal="center" vertical="center"/>
    </xf>
    <xf borderId="18" fillId="3" fontId="10" numFmtId="0" xfId="0" applyAlignment="1" applyBorder="1" applyFont="1">
      <alignment shrinkToFit="0" vertical="center" wrapText="1"/>
    </xf>
    <xf borderId="18" fillId="3" fontId="10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center"/>
    </xf>
    <xf borderId="3" fillId="0" fontId="10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3" fillId="0" fontId="10" numFmtId="0" xfId="0" applyAlignment="1" applyBorder="1" applyFont="1">
      <alignment vertical="center"/>
    </xf>
    <xf borderId="19" fillId="0" fontId="3" numFmtId="0" xfId="0" applyBorder="1" applyFont="1"/>
    <xf borderId="20" fillId="0" fontId="3" numFmtId="0" xfId="0" applyBorder="1" applyFont="1"/>
    <xf borderId="4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3" fillId="2" fontId="8" numFmtId="14" xfId="0" applyAlignment="1" applyBorder="1" applyFont="1" applyNumberFormat="1">
      <alignment horizontal="center" shrinkToFit="0" vertical="center" wrapText="1"/>
    </xf>
    <xf borderId="6" fillId="0" fontId="3" numFmtId="0" xfId="0" applyAlignment="1" applyBorder="1" applyFont="1">
      <alignment horizontal="center"/>
    </xf>
    <xf borderId="4" fillId="4" fontId="9" numFmtId="0" xfId="0" applyAlignment="1" applyBorder="1" applyFill="1" applyFont="1">
      <alignment horizontal="center"/>
    </xf>
    <xf borderId="3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left" shrinkToFit="0" vertical="center" wrapText="1"/>
    </xf>
    <xf borderId="3" fillId="0" fontId="4" numFmtId="0" xfId="0" applyAlignment="1" applyBorder="1" applyFont="1">
      <alignment horizontal="left" shrinkToFit="0" vertical="center" wrapText="1"/>
    </xf>
    <xf borderId="3" fillId="0" fontId="11" numFmtId="0" xfId="0" applyAlignment="1" applyBorder="1" applyFont="1">
      <alignment horizontal="center"/>
    </xf>
    <xf borderId="0" fillId="0" fontId="3" numFmtId="0" xfId="0" applyAlignment="1" applyFont="1">
      <alignment shrinkToFit="0" vertical="center" wrapText="1"/>
    </xf>
    <xf borderId="3" fillId="0" fontId="12" numFmtId="0" xfId="0" applyAlignment="1" applyBorder="1" applyFont="1">
      <alignment horizontal="right" readingOrder="0" shrinkToFit="0" vertical="bottom" wrapText="0"/>
    </xf>
    <xf borderId="3" fillId="3" fontId="10" numFmtId="0" xfId="0" applyAlignment="1" applyBorder="1" applyFont="1">
      <alignment horizontal="left" vertical="center"/>
    </xf>
    <xf borderId="3" fillId="0" fontId="10" numFmtId="0" xfId="0" applyAlignment="1" applyBorder="1" applyFont="1">
      <alignment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21" fillId="0" fontId="12" numFmtId="0" xfId="0" applyAlignment="1" applyBorder="1" applyFont="1">
      <alignment horizontal="right" readingOrder="0" shrinkToFit="0" vertical="bottom" wrapText="0"/>
    </xf>
    <xf borderId="3" fillId="0" fontId="10" numFmtId="0" xfId="0" applyAlignment="1" applyBorder="1" applyFont="1">
      <alignment horizontal="center"/>
    </xf>
    <xf borderId="3" fillId="3" fontId="10" numFmtId="0" xfId="0" applyAlignment="1" applyBorder="1" applyFont="1">
      <alignment shrinkToFit="0" wrapText="1"/>
    </xf>
    <xf borderId="3" fillId="0" fontId="10" numFmtId="0" xfId="0" applyAlignment="1" applyBorder="1" applyFont="1">
      <alignment shrinkToFit="0" wrapText="1"/>
    </xf>
    <xf borderId="3" fillId="4" fontId="3" numFmtId="0" xfId="0" applyBorder="1" applyFont="1"/>
    <xf borderId="3" fillId="4" fontId="10" numFmtId="0" xfId="0" applyAlignment="1" applyBorder="1" applyFont="1">
      <alignment horizontal="center" vertical="center"/>
    </xf>
    <xf borderId="3" fillId="4" fontId="10" numFmtId="0" xfId="0" applyAlignment="1" applyBorder="1" applyFont="1">
      <alignment shrinkToFit="0" vertical="center" wrapText="1"/>
    </xf>
    <xf borderId="3" fillId="4" fontId="10" numFmtId="0" xfId="0" applyAlignment="1" applyBorder="1" applyFont="1">
      <alignment horizontal="left" shrinkToFit="0" vertical="center" wrapText="1"/>
    </xf>
    <xf borderId="3" fillId="4" fontId="11" numFmtId="0" xfId="0" applyBorder="1" applyFont="1"/>
    <xf borderId="21" fillId="4" fontId="12" numFmtId="0" xfId="0" applyAlignment="1" applyBorder="1" applyFont="1">
      <alignment horizontal="right" readingOrder="0" shrinkToFit="0" vertical="bottom" wrapText="0"/>
    </xf>
    <xf borderId="0" fillId="4" fontId="1" numFmtId="0" xfId="0" applyFont="1"/>
    <xf borderId="3" fillId="3" fontId="10" numFmtId="0" xfId="0" applyAlignment="1" applyBorder="1" applyFont="1">
      <alignment vertical="center"/>
    </xf>
    <xf borderId="0" fillId="0" fontId="11" numFmtId="0" xfId="0" applyFont="1"/>
    <xf borderId="3" fillId="0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horizontal="left" vertical="center"/>
    </xf>
    <xf borderId="21" fillId="0" fontId="12" numFmtId="0" xfId="0" applyAlignment="1" applyBorder="1" applyFont="1">
      <alignment readingOrder="0" shrinkToFit="0" vertical="bottom" wrapText="0"/>
    </xf>
    <xf borderId="3" fillId="0" fontId="13" numFmtId="0" xfId="0" applyBorder="1" applyFont="1"/>
    <xf borderId="3" fillId="4" fontId="10" numFmtId="0" xfId="0" applyAlignment="1" applyBorder="1" applyFont="1">
      <alignment horizontal="center"/>
    </xf>
    <xf borderId="3" fillId="4" fontId="10" numFmtId="0" xfId="0" applyAlignment="1" applyBorder="1" applyFont="1">
      <alignment shrinkToFit="0" wrapText="1"/>
    </xf>
    <xf borderId="3" fillId="4" fontId="11" numFmtId="0" xfId="0" applyAlignment="1" applyBorder="1" applyFont="1">
      <alignment horizontal="center"/>
    </xf>
    <xf borderId="3" fillId="0" fontId="10" numFmtId="0" xfId="0" applyAlignment="1" applyBorder="1" applyFont="1">
      <alignment horizontal="left" vertical="center"/>
    </xf>
    <xf borderId="0" fillId="0" fontId="10" numFmtId="0" xfId="0" applyAlignment="1" applyFont="1">
      <alignment horizontal="center" vertical="center"/>
    </xf>
    <xf borderId="22" fillId="2" fontId="8" numFmtId="0" xfId="0" applyAlignment="1" applyBorder="1" applyFont="1">
      <alignment horizontal="center" vertical="center"/>
    </xf>
    <xf borderId="23" fillId="2" fontId="8" numFmtId="0" xfId="0" applyAlignment="1" applyBorder="1" applyFont="1">
      <alignment horizontal="center" vertical="center"/>
    </xf>
    <xf borderId="24" fillId="2" fontId="8" numFmtId="0" xfId="0" applyAlignment="1" applyBorder="1" applyFont="1">
      <alignment horizontal="center" shrinkToFit="0" vertical="center" wrapText="1"/>
    </xf>
    <xf borderId="25" fillId="2" fontId="8" numFmtId="0" xfId="0" applyAlignment="1" applyBorder="1" applyFont="1">
      <alignment horizontal="center" shrinkToFit="0" vertical="center" wrapText="1"/>
    </xf>
    <xf borderId="26" fillId="2" fontId="8" numFmtId="14" xfId="0" applyAlignment="1" applyBorder="1" applyFont="1" applyNumberFormat="1">
      <alignment horizontal="center" shrinkToFit="0" vertical="center" wrapText="1"/>
    </xf>
    <xf borderId="27" fillId="0" fontId="7" numFmtId="0" xfId="0" applyBorder="1" applyFont="1"/>
    <xf borderId="28" fillId="0" fontId="7" numFmtId="0" xfId="0" applyBorder="1" applyFont="1"/>
    <xf borderId="29" fillId="2" fontId="8" numFmtId="14" xfId="0" applyAlignment="1" applyBorder="1" applyFont="1" applyNumberFormat="1">
      <alignment horizontal="center" shrinkToFit="0" vertical="center" wrapText="1"/>
    </xf>
    <xf borderId="30" fillId="0" fontId="7" numFmtId="0" xfId="0" applyBorder="1" applyFont="1"/>
    <xf borderId="31" fillId="2" fontId="8" numFmtId="0" xfId="0" applyAlignment="1" applyBorder="1" applyFont="1">
      <alignment horizontal="center" vertical="center"/>
    </xf>
    <xf borderId="32" fillId="0" fontId="7" numFmtId="0" xfId="0" applyBorder="1" applyFont="1"/>
    <xf borderId="3" fillId="0" fontId="11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vertical="center"/>
    </xf>
    <xf borderId="7" fillId="3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19" fillId="0" fontId="11" numFmtId="0" xfId="0" applyBorder="1" applyFont="1"/>
    <xf borderId="4" fillId="0" fontId="11" numFmtId="0" xfId="0" applyBorder="1" applyFont="1"/>
    <xf borderId="3" fillId="0" fontId="3" numFmtId="0" xfId="0" applyAlignment="1" applyBorder="1" applyFont="1">
      <alignment readingOrder="0"/>
    </xf>
    <xf borderId="3" fillId="3" fontId="3" numFmtId="0" xfId="0" applyAlignment="1" applyBorder="1" applyFont="1">
      <alignment shrinkToFit="0" vertical="center" wrapText="1"/>
    </xf>
    <xf borderId="3" fillId="3" fontId="3" numFmtId="0" xfId="0" applyAlignment="1" applyBorder="1" applyFont="1">
      <alignment horizontal="left" shrinkToFit="0" vertical="center" wrapText="1"/>
    </xf>
    <xf borderId="3" fillId="3" fontId="4" numFmtId="0" xfId="0" applyAlignment="1" applyBorder="1" applyFont="1">
      <alignment shrinkToFit="0" vertical="center" wrapText="1"/>
    </xf>
    <xf borderId="3" fillId="4" fontId="11" numFmtId="0" xfId="0" applyAlignment="1" applyBorder="1" applyFont="1">
      <alignment horizontal="left" shrinkToFit="0" vertical="center" wrapText="1"/>
    </xf>
    <xf borderId="3" fillId="4" fontId="3" numFmtId="0" xfId="0" applyAlignment="1" applyBorder="1" applyFont="1">
      <alignment horizontal="left" vertical="center"/>
    </xf>
    <xf borderId="3" fillId="4" fontId="3" numFmtId="0" xfId="0" applyAlignment="1" applyBorder="1" applyFont="1">
      <alignment horizontal="left" shrinkToFit="0" vertical="center" wrapText="1"/>
    </xf>
    <xf borderId="4" fillId="4" fontId="11" numFmtId="0" xfId="0" applyBorder="1" applyFont="1"/>
    <xf borderId="3" fillId="4" fontId="3" numFmtId="0" xfId="0" applyAlignment="1" applyBorder="1" applyFont="1">
      <alignment readingOrder="0"/>
    </xf>
    <xf borderId="3" fillId="0" fontId="10" numFmtId="0" xfId="0" applyBorder="1" applyFont="1"/>
    <xf borderId="3" fillId="0" fontId="10" numFmtId="0" xfId="0" applyAlignment="1" applyBorder="1" applyFont="1">
      <alignment horizontal="center" shrinkToFit="0" vertical="top" wrapText="1"/>
    </xf>
    <xf borderId="3" fillId="3" fontId="10" numFmtId="0" xfId="0" applyAlignment="1" applyBorder="1" applyFont="1">
      <alignment horizontal="center" shrinkToFit="0" vertical="top" wrapText="1"/>
    </xf>
    <xf borderId="0" fillId="0" fontId="11" numFmtId="0" xfId="0" applyAlignment="1" applyFont="1">
      <alignment horizontal="left" shrinkToFit="0" vertical="center" wrapText="1"/>
    </xf>
    <xf borderId="18" fillId="3" fontId="10" numFmtId="0" xfId="0" applyAlignment="1" applyBorder="1" applyFont="1">
      <alignment horizontal="center"/>
    </xf>
    <xf borderId="18" fillId="3" fontId="10" numFmtId="0" xfId="0" applyAlignment="1" applyBorder="1" applyFont="1">
      <alignment shrinkToFit="0" wrapText="1"/>
    </xf>
    <xf borderId="4" fillId="0" fontId="10" numFmtId="0" xfId="0" applyAlignment="1" applyBorder="1" applyFont="1">
      <alignment vertical="center"/>
    </xf>
    <xf borderId="22" fillId="4" fontId="8" numFmtId="0" xfId="0" applyAlignment="1" applyBorder="1" applyFont="1">
      <alignment horizontal="center" vertical="center"/>
    </xf>
    <xf borderId="23" fillId="4" fontId="8" numFmtId="0" xfId="0" applyAlignment="1" applyBorder="1" applyFont="1">
      <alignment horizontal="center" vertical="center"/>
    </xf>
    <xf borderId="24" fillId="4" fontId="8" numFmtId="0" xfId="0" applyAlignment="1" applyBorder="1" applyFont="1">
      <alignment horizontal="center" shrinkToFit="0" vertical="center" wrapText="1"/>
    </xf>
    <xf borderId="25" fillId="4" fontId="8" numFmtId="0" xfId="0" applyAlignment="1" applyBorder="1" applyFont="1">
      <alignment horizontal="center" shrinkToFit="0" vertical="center" wrapText="1"/>
    </xf>
    <xf borderId="26" fillId="4" fontId="8" numFmtId="14" xfId="0" applyAlignment="1" applyBorder="1" applyFont="1" applyNumberFormat="1">
      <alignment horizontal="center" shrinkToFit="0" vertical="center" wrapText="1"/>
    </xf>
    <xf borderId="29" fillId="4" fontId="8" numFmtId="14" xfId="0" applyAlignment="1" applyBorder="1" applyFont="1" applyNumberFormat="1">
      <alignment horizontal="center" shrinkToFit="0" vertical="center" wrapText="1"/>
    </xf>
    <xf borderId="31" fillId="4" fontId="8" numFmtId="0" xfId="0" applyAlignment="1" applyBorder="1" applyFont="1">
      <alignment horizontal="center" vertical="center"/>
    </xf>
    <xf borderId="33" fillId="0" fontId="7" numFmtId="0" xfId="0" applyBorder="1" applyFont="1"/>
    <xf borderId="3" fillId="0" fontId="14" numFmtId="0" xfId="0" applyAlignment="1" applyBorder="1" applyFont="1">
      <alignment horizontal="left" shrinkToFit="0" vertical="center" wrapText="1"/>
    </xf>
    <xf borderId="6" fillId="0" fontId="11" numFmtId="0" xfId="0" applyBorder="1" applyFont="1"/>
    <xf borderId="3" fillId="0" fontId="11" numFmtId="0" xfId="0" applyAlignment="1" applyBorder="1" applyFont="1">
      <alignment readingOrder="0"/>
    </xf>
    <xf borderId="34" fillId="0" fontId="3" numFmtId="0" xfId="0" applyAlignment="1" applyBorder="1" applyFont="1">
      <alignment horizontal="left" vertical="center"/>
    </xf>
    <xf borderId="24" fillId="3" fontId="3" numFmtId="0" xfId="0" applyAlignment="1" applyBorder="1" applyFont="1">
      <alignment horizontal="left" shrinkToFit="0" vertical="center" wrapText="1"/>
    </xf>
    <xf borderId="35" fillId="0" fontId="3" numFmtId="0" xfId="0" applyAlignment="1" applyBorder="1" applyFont="1">
      <alignment horizontal="left" shrinkToFit="0" vertical="center" wrapText="1"/>
    </xf>
    <xf borderId="36" fillId="0" fontId="11" numFmtId="0" xfId="0" applyBorder="1" applyFont="1"/>
    <xf borderId="34" fillId="0" fontId="11" numFmtId="0" xfId="0" applyBorder="1" applyFont="1"/>
    <xf borderId="37" fillId="0" fontId="11" numFmtId="0" xfId="0" applyBorder="1" applyFont="1"/>
    <xf borderId="35" fillId="0" fontId="11" numFmtId="0" xfId="0" applyBorder="1" applyFont="1"/>
    <xf borderId="4" fillId="0" fontId="10" numFmtId="0" xfId="0" applyAlignment="1" applyBorder="1" applyFont="1">
      <alignment shrinkToFit="0" vertical="center" wrapText="1"/>
    </xf>
    <xf borderId="7" fillId="3" fontId="15" numFmtId="0" xfId="0" applyAlignment="1" applyBorder="1" applyFont="1">
      <alignment horizontal="left" shrinkToFit="0" vertical="center" wrapText="1"/>
    </xf>
    <xf borderId="8" fillId="3" fontId="15" numFmtId="0" xfId="0" applyAlignment="1" applyBorder="1" applyFont="1">
      <alignment horizontal="left" vertical="center"/>
    </xf>
    <xf borderId="38" fillId="0" fontId="11" numFmtId="0" xfId="0" applyBorder="1" applyFont="1"/>
    <xf borderId="3" fillId="3" fontId="3" numFmtId="0" xfId="0" applyBorder="1" applyFont="1"/>
    <xf borderId="3" fillId="3" fontId="11" numFmtId="0" xfId="0" applyBorder="1" applyFont="1"/>
    <xf quotePrefix="1" borderId="3" fillId="0" fontId="10" numFmtId="0" xfId="0" applyAlignment="1" applyBorder="1" applyFont="1">
      <alignment horizontal="center" vertical="center"/>
    </xf>
    <xf borderId="8" fillId="3" fontId="11" numFmtId="0" xfId="0" applyBorder="1" applyFont="1"/>
    <xf borderId="3" fillId="0" fontId="10" numFmtId="0" xfId="0" applyAlignment="1" applyBorder="1" applyFont="1">
      <alignment horizontal="left" shrinkToFit="0" vertical="center" wrapText="1"/>
    </xf>
    <xf borderId="3" fillId="3" fontId="10" numFmtId="0" xfId="0" applyBorder="1" applyFont="1"/>
    <xf borderId="3" fillId="4" fontId="14" numFmtId="0" xfId="0" applyAlignment="1" applyBorder="1" applyFont="1">
      <alignment horizontal="left" shrinkToFit="0" vertical="center" wrapText="1"/>
    </xf>
    <xf borderId="8" fillId="4" fontId="11" numFmtId="0" xfId="0" applyBorder="1" applyFont="1"/>
    <xf borderId="3" fillId="4" fontId="11" numFmtId="0" xfId="0" applyAlignment="1" applyBorder="1" applyFont="1">
      <alignment readingOrder="0"/>
    </xf>
    <xf borderId="0" fillId="4" fontId="11" numFmtId="0" xfId="0" applyFont="1"/>
    <xf borderId="38" fillId="0" fontId="3" numFmtId="0" xfId="0" applyAlignment="1" applyBorder="1" applyFont="1">
      <alignment horizontal="center"/>
    </xf>
    <xf borderId="3" fillId="3" fontId="4" numFmtId="0" xfId="0" applyAlignment="1" applyBorder="1" applyFont="1">
      <alignment horizontal="center" vertical="center"/>
    </xf>
    <xf borderId="3" fillId="3" fontId="4" numFmtId="0" xfId="0" applyAlignment="1" applyBorder="1" applyFont="1">
      <alignment horizontal="left" shrinkToFit="0" vertical="center" wrapText="1"/>
    </xf>
    <xf borderId="39" fillId="0" fontId="3" numFmtId="0" xfId="0" applyAlignment="1" applyBorder="1" applyFont="1">
      <alignment horizontal="center"/>
    </xf>
    <xf borderId="3" fillId="4" fontId="10" numFmtId="0" xfId="0" applyAlignment="1" applyBorder="1" applyFont="1">
      <alignment vertical="center"/>
    </xf>
    <xf borderId="4" fillId="0" fontId="10" numFmtId="0" xfId="0" applyAlignment="1" applyBorder="1" applyFont="1">
      <alignment horizontal="left" vertical="center"/>
    </xf>
    <xf borderId="3" fillId="3" fontId="10" numFmtId="0" xfId="0" applyAlignment="1" applyBorder="1" applyFont="1">
      <alignment horizontal="center"/>
    </xf>
    <xf borderId="3" fillId="3" fontId="4" numFmtId="0" xfId="0" applyBorder="1" applyFont="1"/>
    <xf borderId="3" fillId="0" fontId="3" numFmtId="0" xfId="0" applyAlignment="1" applyBorder="1" applyFont="1">
      <alignment shrinkToFit="0" vertical="center" wrapText="1"/>
    </xf>
    <xf borderId="0" fillId="0" fontId="14" numFmtId="0" xfId="0" applyAlignment="1" applyFont="1">
      <alignment horizontal="left" shrinkToFit="0" vertical="center" wrapText="1"/>
    </xf>
    <xf borderId="40" fillId="0" fontId="3" numFmtId="0" xfId="0" applyBorder="1" applyFont="1"/>
    <xf borderId="40" fillId="0" fontId="3" numFmtId="0" xfId="0" applyAlignment="1" applyBorder="1" applyFont="1">
      <alignment horizontal="center" vertical="center"/>
    </xf>
    <xf borderId="40" fillId="0" fontId="3" numFmtId="0" xfId="0" applyAlignment="1" applyBorder="1" applyFont="1">
      <alignment vertical="center"/>
    </xf>
    <xf borderId="41" fillId="0" fontId="3" numFmtId="0" xfId="0" applyAlignment="1" applyBorder="1" applyFont="1">
      <alignment horizontal="left" shrinkToFit="0" vertical="center" wrapText="1"/>
    </xf>
    <xf borderId="42" fillId="0" fontId="3" numFmtId="0" xfId="0" applyBorder="1" applyFont="1"/>
    <xf borderId="43" fillId="0" fontId="3" numFmtId="0" xfId="0" applyBorder="1" applyFont="1"/>
    <xf borderId="3" fillId="0" fontId="14" numFmtId="0" xfId="0" applyAlignment="1" applyBorder="1" applyFont="1">
      <alignment horizontal="center" shrinkToFit="0" vertical="center" wrapText="1"/>
    </xf>
    <xf borderId="34" fillId="0" fontId="14" numFmtId="0" xfId="0" applyAlignment="1" applyBorder="1" applyFont="1">
      <alignment horizontal="left" shrinkToFit="0" vertical="center" wrapText="1"/>
    </xf>
    <xf borderId="15" fillId="0" fontId="3" numFmtId="0" xfId="0" applyBorder="1" applyFont="1"/>
    <xf borderId="16" fillId="0" fontId="3" numFmtId="0" xfId="0" applyBorder="1" applyFont="1"/>
    <xf borderId="37" fillId="0" fontId="15" numFmtId="0" xfId="0" applyAlignment="1" applyBorder="1" applyFont="1">
      <alignment horizontal="center" vertical="center"/>
    </xf>
    <xf borderId="44" fillId="0" fontId="15" numFmtId="0" xfId="0" applyAlignment="1" applyBorder="1" applyFont="1">
      <alignment horizontal="center" vertical="center"/>
    </xf>
    <xf borderId="24" fillId="3" fontId="15" numFmtId="0" xfId="0" applyAlignment="1" applyBorder="1" applyFont="1">
      <alignment shrinkToFit="0" vertical="center" wrapText="1"/>
    </xf>
    <xf borderId="1" fillId="0" fontId="15" numFmtId="0" xfId="0" applyAlignment="1" applyBorder="1" applyFont="1">
      <alignment vertical="center"/>
    </xf>
    <xf borderId="0" fillId="0" fontId="15" numFmtId="0" xfId="0" applyAlignment="1" applyFont="1">
      <alignment vertical="center"/>
    </xf>
    <xf borderId="0" fillId="0" fontId="15" numFmtId="0" xfId="0" applyAlignment="1" applyFont="1">
      <alignment horizontal="center" vertical="center"/>
    </xf>
    <xf borderId="18" fillId="3" fontId="15" numFmtId="0" xfId="0" applyAlignment="1" applyBorder="1" applyFont="1">
      <alignment shrinkToFit="0" vertical="center" wrapText="1"/>
    </xf>
    <xf borderId="45" fillId="2" fontId="8" numFmtId="14" xfId="0" applyAlignment="1" applyBorder="1" applyFont="1" applyNumberFormat="1">
      <alignment horizontal="center" shrinkToFit="0" vertical="center" wrapText="1"/>
    </xf>
    <xf borderId="46" fillId="2" fontId="8" numFmtId="14" xfId="0" applyAlignment="1" applyBorder="1" applyFont="1" applyNumberFormat="1">
      <alignment horizontal="center" shrinkToFit="0" vertical="center" wrapText="1"/>
    </xf>
    <xf borderId="47" fillId="2" fontId="8" numFmtId="14" xfId="0" applyAlignment="1" applyBorder="1" applyFont="1" applyNumberFormat="1">
      <alignment horizontal="center" shrinkToFit="0" vertical="center" wrapText="1"/>
    </xf>
    <xf borderId="48" fillId="2" fontId="8" numFmtId="0" xfId="0" applyAlignment="1" applyBorder="1" applyFont="1">
      <alignment horizontal="center" vertical="center"/>
    </xf>
    <xf borderId="49" fillId="2" fontId="8" numFmtId="0" xfId="0" applyAlignment="1" applyBorder="1" applyFont="1">
      <alignment horizontal="center" vertical="center"/>
    </xf>
    <xf borderId="5" fillId="0" fontId="11" numFmtId="0" xfId="0" applyBorder="1" applyFont="1"/>
    <xf borderId="16" fillId="0" fontId="11" numFmtId="0" xfId="0" applyBorder="1" applyFont="1"/>
    <xf borderId="3" fillId="3" fontId="3" numFmtId="0" xfId="0" applyAlignment="1" applyBorder="1" applyFont="1">
      <alignment horizontal="left" vertical="center"/>
    </xf>
    <xf borderId="8" fillId="3" fontId="3" numFmtId="0" xfId="0" applyAlignment="1" applyBorder="1" applyFont="1">
      <alignment horizontal="left" shrinkToFit="0" vertical="center" wrapText="1"/>
    </xf>
    <xf borderId="7" fillId="3" fontId="3" numFmtId="0" xfId="0" applyAlignment="1" applyBorder="1" applyFont="1">
      <alignment horizontal="left" vertical="center"/>
    </xf>
    <xf borderId="7" fillId="3" fontId="3" numFmtId="0" xfId="0" applyBorder="1" applyFont="1"/>
    <xf borderId="3" fillId="3" fontId="16" numFmtId="0" xfId="0" applyAlignment="1" applyBorder="1" applyFont="1">
      <alignment horizontal="center" vertical="center"/>
    </xf>
    <xf borderId="3" fillId="4" fontId="4" numFmtId="0" xfId="0" applyAlignment="1" applyBorder="1" applyFont="1">
      <alignment shrinkToFit="0" wrapText="1"/>
    </xf>
    <xf borderId="3" fillId="4" fontId="16" numFmtId="0" xfId="0" applyAlignment="1" applyBorder="1" applyFont="1">
      <alignment horizontal="center" vertical="center"/>
    </xf>
    <xf borderId="3" fillId="4" fontId="4" numFmtId="0" xfId="0" applyAlignment="1" applyBorder="1" applyFont="1">
      <alignment shrinkToFit="0" vertical="center" wrapText="1"/>
    </xf>
    <xf borderId="44" fillId="0" fontId="3" numFmtId="0" xfId="0" applyAlignment="1" applyBorder="1" applyFont="1">
      <alignment horizontal="left" vertical="center"/>
    </xf>
    <xf borderId="37" fillId="0" fontId="3" numFmtId="0" xfId="0" applyBorder="1" applyFont="1"/>
    <xf borderId="50" fillId="2" fontId="8" numFmtId="0" xfId="0" applyAlignment="1" applyBorder="1" applyFont="1">
      <alignment horizontal="center" vertical="center"/>
    </xf>
    <xf borderId="8" fillId="3" fontId="8" numFmtId="14" xfId="0" applyAlignment="1" applyBorder="1" applyFont="1" applyNumberFormat="1">
      <alignment horizontal="center" shrinkToFit="0" vertical="center" wrapText="1"/>
    </xf>
    <xf borderId="3" fillId="3" fontId="4" numFmtId="0" xfId="0" applyAlignment="1" applyBorder="1" applyFont="1">
      <alignment horizontal="left" vertical="center"/>
    </xf>
    <xf borderId="18" fillId="3" fontId="3" numFmtId="0" xfId="0" applyBorder="1" applyFont="1"/>
    <xf borderId="18" fillId="4" fontId="3" numFmtId="0" xfId="0" applyBorder="1" applyFont="1"/>
    <xf borderId="16" fillId="0" fontId="14" numFmtId="0" xfId="0" applyAlignment="1" applyBorder="1" applyFont="1">
      <alignment horizontal="left" shrinkToFit="0" vertical="center" wrapText="1"/>
    </xf>
    <xf borderId="16" fillId="0" fontId="3" numFmtId="0" xfId="0" applyAlignment="1" applyBorder="1" applyFont="1">
      <alignment horizontal="left" vertical="center"/>
    </xf>
    <xf borderId="0" fillId="0" fontId="3" numFmtId="0" xfId="0" applyAlignment="1" applyFont="1">
      <alignment horizontal="left" vertical="center"/>
    </xf>
    <xf borderId="15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0" fillId="0" fontId="11" numFmtId="0" xfId="0" applyAlignment="1" applyFont="1">
      <alignment horizontal="center"/>
    </xf>
    <xf borderId="15" fillId="0" fontId="11" numFmtId="0" xfId="0" applyBorder="1" applyFont="1"/>
    <xf borderId="0" fillId="0" fontId="2" numFmtId="0" xfId="0" applyAlignment="1" applyFont="1">
      <alignment vertical="center"/>
    </xf>
    <xf borderId="3" fillId="0" fontId="11" numFmtId="0" xfId="0" applyAlignment="1" applyBorder="1" applyFont="1">
      <alignment horizontal="center" shrinkToFit="0" vertical="center" wrapText="1"/>
    </xf>
    <xf borderId="38" fillId="0" fontId="11" numFmtId="0" xfId="0" applyAlignment="1" applyBorder="1" applyFont="1">
      <alignment horizontal="center"/>
    </xf>
    <xf borderId="5" fillId="0" fontId="11" numFmtId="0" xfId="0" applyAlignment="1" applyBorder="1" applyFont="1">
      <alignment horizontal="center"/>
    </xf>
    <xf borderId="8" fillId="3" fontId="8" numFmtId="0" xfId="0" applyAlignment="1" applyBorder="1" applyFont="1">
      <alignment horizontal="center" vertical="center"/>
    </xf>
    <xf borderId="3" fillId="3" fontId="17" numFmtId="0" xfId="0" applyAlignment="1" applyBorder="1" applyFont="1">
      <alignment horizontal="center" vertical="center"/>
    </xf>
    <xf borderId="8" fillId="3" fontId="10" numFmtId="0" xfId="0" applyAlignment="1" applyBorder="1" applyFont="1">
      <alignment vertical="center"/>
    </xf>
    <xf borderId="3" fillId="3" fontId="17" numFmtId="14" xfId="0" applyAlignment="1" applyBorder="1" applyFont="1" applyNumberFormat="1">
      <alignment horizontal="center" shrinkToFit="0" vertical="center" wrapText="1"/>
    </xf>
    <xf quotePrefix="1" borderId="3" fillId="3" fontId="17" numFmtId="14" xfId="0" applyAlignment="1" applyBorder="1" applyFont="1" applyNumberFormat="1">
      <alignment horizontal="center" shrinkToFit="0" vertical="center" wrapText="1"/>
    </xf>
    <xf borderId="3" fillId="3" fontId="17" numFmtId="0" xfId="0" applyAlignment="1" applyBorder="1" applyFont="1">
      <alignment horizontal="center" readingOrder="0" vertical="center"/>
    </xf>
    <xf borderId="3" fillId="3" fontId="17" numFmtId="14" xfId="0" applyAlignment="1" applyBorder="1" applyFont="1" applyNumberFormat="1">
      <alignment horizontal="center" vertical="center"/>
    </xf>
    <xf borderId="3" fillId="0" fontId="11" numFmtId="4" xfId="0" applyBorder="1" applyFont="1" applyNumberFormat="1"/>
    <xf borderId="3" fillId="0" fontId="11" numFmtId="0" xfId="0" applyAlignment="1" applyBorder="1" applyFont="1">
      <alignment horizontal="left" vertical="center"/>
    </xf>
    <xf borderId="7" fillId="3" fontId="11" numFmtId="0" xfId="0" applyAlignment="1" applyBorder="1" applyFont="1">
      <alignment horizontal="left" shrinkToFit="0" vertical="center" wrapText="1"/>
    </xf>
    <xf borderId="8" fillId="3" fontId="1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readingOrder="0"/>
    </xf>
    <xf borderId="3" fillId="3" fontId="11" numFmtId="0" xfId="0" applyAlignment="1" applyBorder="1" applyFont="1">
      <alignment horizontal="left" vertical="center"/>
    </xf>
    <xf borderId="3" fillId="0" fontId="11" numFmtId="0" xfId="0" applyAlignment="1" applyBorder="1" applyFont="1">
      <alignment horizontal="center" vertical="center"/>
    </xf>
    <xf borderId="8" fillId="3" fontId="10" numFmtId="0" xfId="0" applyAlignment="1" applyBorder="1" applyFont="1">
      <alignment shrinkToFit="0" vertical="center" wrapText="1"/>
    </xf>
    <xf borderId="8" fillId="4" fontId="10" numFmtId="0" xfId="0" applyAlignment="1" applyBorder="1" applyFont="1">
      <alignment vertical="center"/>
    </xf>
    <xf borderId="3" fillId="4" fontId="11" numFmtId="0" xfId="0" applyAlignment="1" applyBorder="1" applyFont="1">
      <alignment horizontal="center" vertical="center"/>
    </xf>
    <xf borderId="8" fillId="3" fontId="10" numFmtId="0" xfId="0" applyBorder="1" applyFont="1"/>
    <xf borderId="18" fillId="3" fontId="10" numFmtId="0" xfId="0" applyAlignment="1" applyBorder="1" applyFont="1">
      <alignment vertical="center"/>
    </xf>
    <xf borderId="0" fillId="0" fontId="11" numFmtId="0" xfId="0" applyAlignment="1" applyFont="1">
      <alignment horizontal="center" vertical="center"/>
    </xf>
    <xf borderId="4" fillId="0" fontId="11" numFmtId="0" xfId="0" applyAlignment="1" applyBorder="1" applyFont="1">
      <alignment horizontal="left" shrinkToFit="0" vertical="center" wrapText="1"/>
    </xf>
    <xf borderId="44" fillId="0" fontId="14" numFmtId="0" xfId="0" applyAlignment="1" applyBorder="1" applyFont="1">
      <alignment horizontal="left" shrinkToFit="0" vertical="center" wrapText="1"/>
    </xf>
    <xf borderId="44" fillId="0" fontId="3" numFmtId="0" xfId="0" applyAlignment="1" applyBorder="1" applyFont="1">
      <alignment horizontal="left" shrinkToFit="0" vertical="center" wrapText="1"/>
    </xf>
    <xf borderId="44" fillId="0" fontId="3" numFmtId="0" xfId="0" applyAlignment="1" applyBorder="1" applyFont="1">
      <alignment horizontal="center"/>
    </xf>
    <xf borderId="44" fillId="0" fontId="3" numFmtId="0" xfId="0" applyBorder="1" applyFont="1"/>
    <xf borderId="3" fillId="5" fontId="11" numFmtId="0" xfId="0" applyBorder="1" applyFill="1" applyFont="1"/>
    <xf borderId="3" fillId="0" fontId="12" numFmtId="0" xfId="0" applyAlignment="1" applyBorder="1" applyFont="1">
      <alignment horizontal="left" vertical="center"/>
    </xf>
    <xf borderId="7" fillId="3" fontId="12" numFmtId="0" xfId="0" applyAlignment="1" applyBorder="1" applyFont="1">
      <alignment horizontal="left" shrinkToFit="0" vertical="center" wrapText="1"/>
    </xf>
    <xf borderId="4" fillId="0" fontId="12" numFmtId="0" xfId="0" applyAlignment="1" applyBorder="1" applyFont="1">
      <alignment horizontal="left" shrinkToFit="0" vertical="center" wrapText="1"/>
    </xf>
    <xf borderId="7" fillId="3" fontId="11" numFmtId="0" xfId="0" applyAlignment="1" applyBorder="1" applyFont="1">
      <alignment horizontal="left" vertical="center"/>
    </xf>
    <xf borderId="3" fillId="3" fontId="11" numFmtId="0" xfId="0" applyAlignment="1" applyBorder="1" applyFont="1">
      <alignment horizontal="left" shrinkToFit="0" vertical="center" wrapText="1"/>
    </xf>
    <xf borderId="44" fillId="0" fontId="11" numFmtId="0" xfId="0" applyBorder="1" applyFont="1"/>
    <xf borderId="44" fillId="4" fontId="11" numFmtId="0" xfId="0" applyBorder="1" applyFont="1"/>
    <xf borderId="3" fillId="0" fontId="10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vertical="center"/>
    </xf>
    <xf borderId="0" fillId="0" fontId="14" numFmtId="0" xfId="0" applyAlignment="1" applyFont="1">
      <alignment horizontal="center" shrinkToFit="0" vertical="center" wrapText="1"/>
    </xf>
    <xf borderId="0" fillId="0" fontId="15" numFmtId="0" xfId="0" applyAlignment="1" applyFont="1">
      <alignment shrinkToFit="0" vertical="center" wrapText="1"/>
    </xf>
    <xf borderId="51" fillId="2" fontId="8" numFmtId="0" xfId="0" applyAlignment="1" applyBorder="1" applyFont="1">
      <alignment horizontal="center" vertical="center"/>
    </xf>
    <xf borderId="18" fillId="2" fontId="8" numFmtId="0" xfId="0" applyAlignment="1" applyBorder="1" applyFont="1">
      <alignment horizontal="center" vertical="center"/>
    </xf>
    <xf borderId="52" fillId="2" fontId="8" numFmtId="0" xfId="0" applyAlignment="1" applyBorder="1" applyFont="1">
      <alignment horizontal="center" shrinkToFit="0" vertical="center" wrapText="1"/>
    </xf>
    <xf borderId="53" fillId="2" fontId="8" numFmtId="0" xfId="0" applyAlignment="1" applyBorder="1" applyFont="1">
      <alignment horizontal="center" shrinkToFit="0" vertical="center" wrapText="1"/>
    </xf>
    <xf borderId="54" fillId="2" fontId="8" numFmtId="14" xfId="0" applyAlignment="1" applyBorder="1" applyFont="1" applyNumberFormat="1">
      <alignment horizontal="center" shrinkToFit="0" vertical="center" wrapText="1"/>
    </xf>
    <xf borderId="55" fillId="0" fontId="7" numFmtId="0" xfId="0" applyBorder="1" applyFont="1"/>
    <xf borderId="56" fillId="0" fontId="7" numFmtId="0" xfId="0" applyBorder="1" applyFont="1"/>
    <xf borderId="57" fillId="2" fontId="8" numFmtId="14" xfId="0" applyAlignment="1" applyBorder="1" applyFont="1" applyNumberFormat="1">
      <alignment horizontal="center" shrinkToFit="0" vertical="center" wrapText="1"/>
    </xf>
    <xf borderId="58" fillId="0" fontId="7" numFmtId="0" xfId="0" applyBorder="1" applyFont="1"/>
    <xf borderId="19" fillId="3" fontId="11" numFmtId="0" xfId="0" applyBorder="1" applyFont="1"/>
    <xf borderId="7" fillId="3" fontId="11" numFmtId="0" xfId="0" applyBorder="1" applyFont="1"/>
    <xf borderId="3" fillId="3" fontId="12" numFmtId="0" xfId="0" applyAlignment="1" applyBorder="1" applyFont="1">
      <alignment horizontal="left" vertical="center"/>
    </xf>
    <xf borderId="7" fillId="3" fontId="10" numFmtId="0" xfId="0" applyAlignment="1" applyBorder="1" applyFont="1">
      <alignment horizontal="left" vertical="center"/>
    </xf>
    <xf borderId="8" fillId="3" fontId="10" numFmtId="0" xfId="0" applyAlignment="1" applyBorder="1" applyFont="1">
      <alignment horizontal="left" vertical="center"/>
    </xf>
    <xf borderId="51" fillId="3" fontId="11" numFmtId="0" xfId="0" applyBorder="1" applyFont="1"/>
    <xf borderId="7" fillId="3" fontId="10" numFmtId="0" xfId="0" applyAlignment="1" applyBorder="1" applyFont="1">
      <alignment horizontal="center" vertical="center"/>
    </xf>
    <xf borderId="59" fillId="3" fontId="10" numFmtId="0" xfId="0" applyAlignment="1" applyBorder="1" applyFont="1">
      <alignment horizontal="center" shrinkToFit="0" vertical="center" wrapText="1"/>
    </xf>
    <xf borderId="60" fillId="3" fontId="10" numFmtId="0" xfId="0" applyAlignment="1" applyBorder="1" applyFont="1">
      <alignment shrinkToFit="0" vertical="center" wrapText="1"/>
    </xf>
    <xf borderId="7" fillId="3" fontId="10" numFmtId="0" xfId="0" applyAlignment="1" applyBorder="1" applyFont="1">
      <alignment horizontal="center" shrinkToFit="0" vertical="center" wrapText="1"/>
    </xf>
    <xf borderId="3" fillId="3" fontId="10" numFmtId="0" xfId="0" applyAlignment="1" applyBorder="1" applyFont="1">
      <alignment horizontal="center" shrinkToFit="0" vertical="center" wrapText="1"/>
    </xf>
    <xf borderId="24" fillId="3" fontId="10" numFmtId="0" xfId="0" applyAlignment="1" applyBorder="1" applyFont="1">
      <alignment horizontal="center" vertical="center"/>
    </xf>
    <xf borderId="22" fillId="3" fontId="10" numFmtId="0" xfId="0" applyAlignment="1" applyBorder="1" applyFont="1">
      <alignment horizontal="center" vertical="center"/>
    </xf>
    <xf borderId="22" fillId="3" fontId="10" numFmtId="0" xfId="0" applyAlignment="1" applyBorder="1" applyFont="1">
      <alignment shrinkToFit="0" vertical="center" wrapText="1"/>
    </xf>
    <xf borderId="53" fillId="3" fontId="10" numFmtId="0" xfId="0" applyAlignment="1" applyBorder="1" applyFont="1">
      <alignment shrinkToFit="0" vertical="center" wrapText="1"/>
    </xf>
    <xf borderId="61" fillId="3" fontId="10" numFmtId="0" xfId="0" applyAlignment="1" applyBorder="1" applyFont="1">
      <alignment shrinkToFit="0" vertical="center" wrapText="1"/>
    </xf>
    <xf borderId="24" fillId="3" fontId="10" numFmtId="0" xfId="0" applyAlignment="1" applyBorder="1" applyFont="1">
      <alignment horizontal="center" shrinkToFit="0" vertical="center" wrapText="1"/>
    </xf>
    <xf borderId="22" fillId="3" fontId="10" numFmtId="0" xfId="0" applyAlignment="1" applyBorder="1" applyFont="1">
      <alignment horizontal="center" shrinkToFit="0" vertical="center" wrapText="1"/>
    </xf>
    <xf borderId="22" fillId="3" fontId="10" numFmtId="0" xfId="0" applyAlignment="1" applyBorder="1" applyFont="1">
      <alignment horizontal="left" shrinkToFit="0" vertical="center" wrapText="1"/>
    </xf>
    <xf borderId="24" fillId="3" fontId="11" numFmtId="0" xfId="0" applyBorder="1" applyFont="1"/>
    <xf borderId="22" fillId="3" fontId="11" numFmtId="0" xfId="0" applyBorder="1" applyFont="1"/>
    <xf borderId="52" fillId="3" fontId="10" numFmtId="0" xfId="0" applyAlignment="1" applyBorder="1" applyFont="1">
      <alignment horizontal="center" vertical="center"/>
    </xf>
    <xf borderId="52" fillId="3" fontId="10" numFmtId="0" xfId="0" applyAlignment="1" applyBorder="1" applyFont="1">
      <alignment shrinkToFit="0" vertical="center" wrapText="1"/>
    </xf>
    <xf borderId="3" fillId="3" fontId="18" numFmtId="0" xfId="0" applyBorder="1" applyFont="1"/>
    <xf borderId="18" fillId="3" fontId="11" numFmtId="0" xfId="0" applyAlignment="1" applyBorder="1" applyFont="1">
      <alignment horizontal="left" shrinkToFit="0" vertical="center" wrapText="1"/>
    </xf>
    <xf borderId="18" fillId="3" fontId="10" numFmtId="0" xfId="0" applyAlignment="1" applyBorder="1" applyFont="1">
      <alignment horizontal="center" shrinkToFit="0" vertical="center" wrapText="1"/>
    </xf>
    <xf borderId="18" fillId="3" fontId="11" numFmtId="0" xfId="0" applyBorder="1" applyFont="1"/>
    <xf borderId="0" fillId="0" fontId="15" numFmtId="0" xfId="0" applyAlignment="1" applyFont="1">
      <alignment horizontal="center" shrinkToFit="0" vertical="center" wrapText="1"/>
    </xf>
    <xf borderId="3" fillId="3" fontId="11" numFmtId="0" xfId="0" applyAlignment="1" applyBorder="1" applyFont="1">
      <alignment readingOrder="0"/>
    </xf>
    <xf borderId="3" fillId="4" fontId="11" numFmtId="0" xfId="0" applyAlignment="1" applyBorder="1" applyFont="1">
      <alignment horizontal="left" vertical="center"/>
    </xf>
    <xf borderId="7" fillId="4" fontId="11" numFmtId="0" xfId="0" applyAlignment="1" applyBorder="1" applyFont="1">
      <alignment horizontal="left" shrinkToFit="0" vertical="center" wrapText="1"/>
    </xf>
    <xf borderId="8" fillId="4" fontId="11" numFmtId="0" xfId="0" applyAlignment="1" applyBorder="1" applyFont="1">
      <alignment horizontal="left" shrinkToFit="0" vertical="center" wrapText="1"/>
    </xf>
    <xf borderId="19" fillId="4" fontId="11" numFmtId="0" xfId="0" applyBorder="1" applyFont="1"/>
    <xf borderId="18" fillId="4" fontId="11" numFmtId="0" xfId="0" applyBorder="1" applyFont="1"/>
    <xf borderId="7" fillId="4" fontId="11" numFmtId="0" xfId="0" applyBorder="1" applyFont="1"/>
    <xf borderId="22" fillId="3" fontId="10" numFmtId="0" xfId="0" applyAlignment="1" applyBorder="1" applyFont="1">
      <alignment vertical="center"/>
    </xf>
    <xf borderId="52" fillId="3" fontId="11" numFmtId="0" xfId="0" applyBorder="1" applyFont="1"/>
    <xf borderId="3" fillId="0" fontId="15" numFmtId="0" xfId="0" applyAlignment="1" applyBorder="1" applyFont="1">
      <alignment horizontal="center" vertical="center"/>
    </xf>
    <xf borderId="3" fillId="0" fontId="15" numFmtId="0" xfId="0" applyAlignment="1" applyBorder="1" applyFont="1">
      <alignment vertical="center"/>
    </xf>
    <xf borderId="3" fillId="0" fontId="15" numFmtId="0" xfId="0" applyAlignment="1" applyBorder="1" applyFont="1">
      <alignment shrinkToFit="0" vertical="center" wrapText="1"/>
    </xf>
    <xf borderId="3" fillId="0" fontId="15" numFmtId="0" xfId="0" applyAlignment="1" applyBorder="1" applyFont="1">
      <alignment horizontal="center" shrinkToFit="0" vertical="center" wrapText="1"/>
    </xf>
    <xf borderId="62" fillId="2" fontId="8" numFmtId="0" xfId="0" applyAlignment="1" applyBorder="1" applyFont="1">
      <alignment horizontal="center" vertical="center"/>
    </xf>
    <xf borderId="63" fillId="0" fontId="7" numFmtId="0" xfId="0" applyBorder="1" applyFont="1"/>
    <xf borderId="3" fillId="0" fontId="3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4.86"/>
    <col customWidth="1" min="3" max="3" width="5.0"/>
    <col customWidth="1" min="4" max="4" width="20.14"/>
    <col customWidth="1" min="5" max="5" width="9.86"/>
    <col customWidth="1" min="6" max="6" width="5.29"/>
    <col customWidth="1" min="7" max="8" width="4.43"/>
    <col customWidth="1" min="9" max="9" width="5.0"/>
    <col customWidth="1" min="10" max="10" width="4.29"/>
    <col customWidth="1" min="11" max="11" width="4.57"/>
    <col customWidth="1" min="12" max="13" width="4.43"/>
    <col customWidth="1" min="14" max="14" width="4.71"/>
    <col customWidth="1" min="15" max="15" width="5.0"/>
    <col customWidth="1" min="16" max="16" width="4.86"/>
    <col customWidth="1" min="17" max="17" width="5.43"/>
    <col customWidth="1" min="18" max="18" width="8.0"/>
    <col customWidth="1" min="19" max="19" width="4.71"/>
    <col customWidth="1" min="20" max="20" width="4.86"/>
    <col customWidth="1" min="21" max="21" width="8.0"/>
    <col customWidth="1" min="22" max="22" width="0.14"/>
    <col customWidth="1" min="23" max="23" width="13.0"/>
    <col customWidth="1" min="24" max="24" width="8.71"/>
    <col customWidth="1" min="25" max="25" width="96.43"/>
  </cols>
  <sheetData>
    <row r="1" ht="14.25" customHeight="1">
      <c r="A1" s="3" t="s">
        <v>3</v>
      </c>
      <c r="B1" s="3"/>
      <c r="C1" s="3"/>
      <c r="D1" s="3"/>
      <c r="E1" s="3"/>
    </row>
    <row r="2" ht="14.25" customHeight="1">
      <c r="A2" s="3" t="s">
        <v>4</v>
      </c>
      <c r="B2" s="3"/>
      <c r="C2" s="3"/>
      <c r="D2" s="3"/>
      <c r="E2" s="3"/>
      <c r="F2" s="4"/>
      <c r="G2" s="5"/>
      <c r="H2" s="5"/>
      <c r="I2" s="5"/>
      <c r="J2" s="6"/>
      <c r="K2" s="6"/>
      <c r="L2" s="6"/>
      <c r="M2" s="6"/>
      <c r="N2" s="5"/>
      <c r="O2" s="5"/>
      <c r="P2" s="5"/>
      <c r="Q2" s="5"/>
    </row>
    <row r="3" ht="14.25" customHeight="1">
      <c r="A3" s="2" t="s">
        <v>2</v>
      </c>
    </row>
    <row r="4" ht="14.25" customHeight="1">
      <c r="A4" s="8" t="s">
        <v>6</v>
      </c>
    </row>
    <row r="5" ht="14.25" customHeight="1">
      <c r="A5" s="9" t="s">
        <v>7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ht="20.25" customHeight="1">
      <c r="A6" s="13" t="s">
        <v>8</v>
      </c>
      <c r="B6" s="13" t="s">
        <v>9</v>
      </c>
      <c r="C6" s="13" t="s">
        <v>10</v>
      </c>
      <c r="D6" s="14" t="s">
        <v>11</v>
      </c>
      <c r="E6" s="14" t="s">
        <v>12</v>
      </c>
      <c r="F6" s="15" t="s">
        <v>13</v>
      </c>
      <c r="G6" s="16"/>
      <c r="H6" s="16"/>
      <c r="I6" s="17"/>
      <c r="J6" s="15" t="s">
        <v>15</v>
      </c>
      <c r="K6" s="16"/>
      <c r="L6" s="16"/>
      <c r="M6" s="17"/>
      <c r="N6" s="18" t="s">
        <v>17</v>
      </c>
      <c r="O6" s="16"/>
      <c r="P6" s="16"/>
      <c r="Q6" s="17"/>
      <c r="R6" s="20" t="s">
        <v>18</v>
      </c>
      <c r="S6" s="16"/>
      <c r="T6" s="16"/>
      <c r="U6" s="16"/>
    </row>
    <row r="7" ht="14.25" customHeight="1">
      <c r="A7" s="22"/>
      <c r="B7" s="22"/>
      <c r="C7" s="22"/>
      <c r="D7" s="22"/>
      <c r="E7" s="22"/>
      <c r="F7" s="25" t="s">
        <v>20</v>
      </c>
      <c r="G7" s="25" t="s">
        <v>21</v>
      </c>
      <c r="H7" s="25" t="s">
        <v>22</v>
      </c>
      <c r="I7" s="25" t="s">
        <v>23</v>
      </c>
      <c r="J7" s="25" t="s">
        <v>20</v>
      </c>
      <c r="K7" s="25" t="s">
        <v>21</v>
      </c>
      <c r="L7" s="25" t="s">
        <v>22</v>
      </c>
      <c r="M7" s="25" t="s">
        <v>23</v>
      </c>
      <c r="N7" s="25" t="s">
        <v>20</v>
      </c>
      <c r="O7" s="25" t="s">
        <v>21</v>
      </c>
      <c r="P7" s="25" t="s">
        <v>22</v>
      </c>
      <c r="Q7" s="25" t="s">
        <v>23</v>
      </c>
      <c r="R7" s="25" t="s">
        <v>20</v>
      </c>
      <c r="S7" s="25" t="s">
        <v>21</v>
      </c>
      <c r="T7" s="25" t="s">
        <v>22</v>
      </c>
      <c r="U7" s="25" t="s">
        <v>23</v>
      </c>
    </row>
    <row r="8" ht="14.25" customHeight="1">
      <c r="A8" s="27">
        <v>1.0</v>
      </c>
      <c r="B8" s="29">
        <v>7978.0</v>
      </c>
      <c r="C8" s="29">
        <v>6479.0</v>
      </c>
      <c r="D8" s="30" t="s">
        <v>24</v>
      </c>
      <c r="E8" s="31" t="s">
        <v>25</v>
      </c>
      <c r="F8" s="33" t="s">
        <v>26</v>
      </c>
      <c r="G8" s="33" t="s">
        <v>26</v>
      </c>
      <c r="H8" s="33" t="s">
        <v>26</v>
      </c>
      <c r="I8" s="33" t="s">
        <v>26</v>
      </c>
      <c r="J8" s="33" t="s">
        <v>26</v>
      </c>
      <c r="K8" s="33" t="s">
        <v>26</v>
      </c>
      <c r="L8" s="33" t="s">
        <v>26</v>
      </c>
      <c r="M8" s="33" t="s">
        <v>26</v>
      </c>
      <c r="N8" s="33" t="s">
        <v>26</v>
      </c>
      <c r="O8" s="33" t="s">
        <v>26</v>
      </c>
      <c r="P8" s="33" t="s">
        <v>26</v>
      </c>
      <c r="Q8" s="33" t="s">
        <v>26</v>
      </c>
      <c r="R8" s="27"/>
      <c r="S8" s="27"/>
      <c r="T8" s="27"/>
      <c r="U8" s="37">
        <v>13975.0</v>
      </c>
    </row>
    <row r="9" ht="14.25" customHeight="1">
      <c r="A9" s="3"/>
      <c r="B9" s="39"/>
      <c r="C9" s="39"/>
      <c r="D9" s="40"/>
      <c r="E9" s="41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3"/>
      <c r="S9" s="3"/>
      <c r="T9" s="3"/>
      <c r="U9" s="3"/>
    </row>
    <row r="10" ht="14.25" customHeight="1">
      <c r="A10" s="3" t="s">
        <v>3</v>
      </c>
      <c r="B10" s="3"/>
      <c r="C10" s="3"/>
      <c r="D10" s="3"/>
      <c r="E10" s="41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3"/>
      <c r="S10" s="3"/>
      <c r="T10" s="3"/>
      <c r="U10" s="3"/>
    </row>
    <row r="11" ht="14.25" customHeight="1">
      <c r="A11" s="3" t="s">
        <v>4</v>
      </c>
      <c r="B11" s="3"/>
      <c r="C11" s="3"/>
      <c r="D11" s="3"/>
      <c r="E11" s="41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3"/>
      <c r="S11" s="3"/>
      <c r="T11" s="3"/>
      <c r="U11" s="3"/>
    </row>
    <row r="12" ht="14.25" customHeight="1">
      <c r="A12" s="3"/>
      <c r="B12" s="39"/>
      <c r="C12" s="39"/>
      <c r="D12" s="40"/>
      <c r="E12" s="41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3"/>
      <c r="S12" s="3"/>
      <c r="T12" s="3"/>
      <c r="U12" s="3"/>
    </row>
    <row r="13" ht="14.25" customHeight="1">
      <c r="A13" s="2" t="s">
        <v>2</v>
      </c>
    </row>
    <row r="14" ht="14.25" customHeight="1">
      <c r="A14" s="8" t="s">
        <v>31</v>
      </c>
    </row>
    <row r="15" ht="14.25" customHeight="1">
      <c r="A15" s="9" t="s">
        <v>7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 ht="20.25" customHeight="1">
      <c r="A16" s="13" t="s">
        <v>8</v>
      </c>
      <c r="B16" s="13" t="s">
        <v>9</v>
      </c>
      <c r="C16" s="13" t="s">
        <v>10</v>
      </c>
      <c r="D16" s="14" t="s">
        <v>11</v>
      </c>
      <c r="E16" s="14" t="s">
        <v>12</v>
      </c>
      <c r="F16" s="50" t="s">
        <v>13</v>
      </c>
      <c r="G16" s="50"/>
      <c r="H16" s="50"/>
      <c r="I16" s="50"/>
      <c r="J16" s="15" t="s">
        <v>15</v>
      </c>
      <c r="K16" s="16"/>
      <c r="L16" s="16"/>
      <c r="M16" s="17"/>
      <c r="N16" s="13" t="s">
        <v>17</v>
      </c>
      <c r="O16" s="13"/>
      <c r="P16" s="13"/>
      <c r="Q16" s="13"/>
      <c r="R16" s="52" t="s">
        <v>18</v>
      </c>
      <c r="S16" s="16"/>
      <c r="T16" s="16"/>
      <c r="U16" s="16"/>
    </row>
    <row r="17" ht="14.25" customHeight="1">
      <c r="A17" s="22"/>
      <c r="B17" s="22"/>
      <c r="C17" s="22"/>
      <c r="D17" s="22"/>
      <c r="E17" s="22"/>
      <c r="F17" s="25" t="s">
        <v>20</v>
      </c>
      <c r="G17" s="25" t="s">
        <v>21</v>
      </c>
      <c r="H17" s="25" t="s">
        <v>22</v>
      </c>
      <c r="I17" s="25" t="s">
        <v>23</v>
      </c>
      <c r="J17" s="25" t="s">
        <v>20</v>
      </c>
      <c r="K17" s="25" t="s">
        <v>21</v>
      </c>
      <c r="L17" s="25" t="s">
        <v>22</v>
      </c>
      <c r="M17" s="25" t="s">
        <v>23</v>
      </c>
      <c r="N17" s="25" t="s">
        <v>20</v>
      </c>
      <c r="O17" s="25" t="s">
        <v>21</v>
      </c>
      <c r="P17" s="25" t="s">
        <v>22</v>
      </c>
      <c r="Q17" s="25" t="s">
        <v>23</v>
      </c>
      <c r="R17" s="25" t="s">
        <v>20</v>
      </c>
      <c r="S17" s="25" t="s">
        <v>21</v>
      </c>
      <c r="T17" s="25" t="s">
        <v>22</v>
      </c>
      <c r="U17" s="25" t="s">
        <v>23</v>
      </c>
    </row>
    <row r="18" ht="14.25" customHeight="1">
      <c r="A18" s="27">
        <v>1.0</v>
      </c>
      <c r="B18" s="29">
        <v>7598.0</v>
      </c>
      <c r="C18" s="29">
        <v>6225.0</v>
      </c>
      <c r="D18" s="30" t="s">
        <v>35</v>
      </c>
      <c r="E18" s="58"/>
      <c r="F18" s="59" t="s">
        <v>26</v>
      </c>
      <c r="G18" s="59" t="s">
        <v>26</v>
      </c>
      <c r="H18" s="59" t="s">
        <v>26</v>
      </c>
      <c r="I18" s="59" t="s">
        <v>26</v>
      </c>
      <c r="J18" s="59" t="s">
        <v>26</v>
      </c>
      <c r="K18" s="59" t="s">
        <v>26</v>
      </c>
      <c r="L18" s="59" t="s">
        <v>26</v>
      </c>
      <c r="M18" s="59" t="s">
        <v>26</v>
      </c>
      <c r="N18" s="43">
        <v>16575.0</v>
      </c>
      <c r="O18" s="43"/>
      <c r="P18" s="43"/>
      <c r="Q18" s="43">
        <v>14575.0</v>
      </c>
      <c r="R18" s="61">
        <v>19995.0</v>
      </c>
      <c r="S18" s="37"/>
      <c r="T18" s="37"/>
      <c r="U18" s="61">
        <v>16032.0</v>
      </c>
    </row>
    <row r="19" ht="19.5" customHeight="1">
      <c r="A19" s="27">
        <v>2.0</v>
      </c>
      <c r="B19" s="29">
        <v>7720.0</v>
      </c>
      <c r="C19" s="29">
        <v>6315.0</v>
      </c>
      <c r="D19" s="30" t="s">
        <v>36</v>
      </c>
      <c r="E19" s="62" t="s">
        <v>37</v>
      </c>
      <c r="F19" s="37"/>
      <c r="G19" s="43"/>
      <c r="H19" s="43"/>
      <c r="I19" s="43"/>
      <c r="J19" s="63"/>
      <c r="K19" s="63"/>
      <c r="L19" s="63"/>
      <c r="M19" s="63"/>
      <c r="N19" s="64" t="s">
        <v>38</v>
      </c>
      <c r="O19" s="16"/>
      <c r="P19" s="17"/>
      <c r="Q19" s="43">
        <v>14575.0</v>
      </c>
      <c r="R19" s="65">
        <v>19995.0</v>
      </c>
      <c r="S19" s="37"/>
      <c r="T19" s="37"/>
      <c r="U19" s="65">
        <v>16032.0</v>
      </c>
    </row>
    <row r="20" ht="14.25" customHeight="1">
      <c r="A20" s="27">
        <v>3.0</v>
      </c>
      <c r="B20" s="29">
        <v>7783.0</v>
      </c>
      <c r="C20" s="29">
        <v>6356.0</v>
      </c>
      <c r="D20" s="30" t="s">
        <v>39</v>
      </c>
      <c r="E20" s="62" t="s">
        <v>40</v>
      </c>
      <c r="F20" s="37"/>
      <c r="G20" s="43"/>
      <c r="H20" s="43"/>
      <c r="I20" s="43"/>
      <c r="J20" s="63"/>
      <c r="K20" s="63"/>
      <c r="L20" s="63"/>
      <c r="M20" s="63"/>
      <c r="N20" s="43">
        <v>18575.0</v>
      </c>
      <c r="O20" s="43">
        <v>18575.0</v>
      </c>
      <c r="P20" s="43">
        <v>18575.0</v>
      </c>
      <c r="Q20" s="43">
        <v>10975.0</v>
      </c>
      <c r="R20" s="65">
        <v>19995.0</v>
      </c>
      <c r="S20" s="37"/>
      <c r="T20" s="37"/>
      <c r="U20" s="65">
        <v>12072.0</v>
      </c>
    </row>
    <row r="21" ht="14.25" customHeight="1">
      <c r="A21" s="27">
        <v>4.0</v>
      </c>
      <c r="B21" s="66">
        <v>7837.0</v>
      </c>
      <c r="C21" s="66">
        <v>6387.0</v>
      </c>
      <c r="D21" s="67" t="s">
        <v>41</v>
      </c>
      <c r="E21" s="68" t="s">
        <v>42</v>
      </c>
      <c r="F21" s="37"/>
      <c r="G21" s="43"/>
      <c r="H21" s="43"/>
      <c r="I21" s="43"/>
      <c r="J21" s="63"/>
      <c r="K21" s="63"/>
      <c r="L21" s="63"/>
      <c r="M21" s="63"/>
      <c r="N21" s="43">
        <v>18575.0</v>
      </c>
      <c r="O21" s="43">
        <v>18575.0</v>
      </c>
      <c r="P21" s="43">
        <v>18575.0</v>
      </c>
      <c r="Q21" s="43">
        <v>18575.0</v>
      </c>
      <c r="R21" s="65">
        <v>19995.0</v>
      </c>
      <c r="S21" s="37"/>
      <c r="T21" s="37"/>
      <c r="U21" s="65">
        <v>18995.0</v>
      </c>
    </row>
    <row r="22" ht="14.25" customHeight="1">
      <c r="A22" s="69">
        <v>5.0</v>
      </c>
      <c r="B22" s="70">
        <v>7875.0</v>
      </c>
      <c r="C22" s="70">
        <v>6408.0</v>
      </c>
      <c r="D22" s="71" t="s">
        <v>43</v>
      </c>
      <c r="E22" s="72" t="s">
        <v>44</v>
      </c>
      <c r="F22" s="73"/>
      <c r="G22" s="70"/>
      <c r="H22" s="70"/>
      <c r="I22" s="70"/>
      <c r="J22" s="71"/>
      <c r="K22" s="71"/>
      <c r="L22" s="71"/>
      <c r="M22" s="71"/>
      <c r="N22" s="70">
        <v>19975.0</v>
      </c>
      <c r="O22" s="70"/>
      <c r="P22" s="70"/>
      <c r="Q22" s="70">
        <v>13975.0</v>
      </c>
      <c r="R22" s="74">
        <v>19995.0</v>
      </c>
      <c r="S22" s="73"/>
      <c r="T22" s="73"/>
      <c r="U22" s="74">
        <v>15372.0</v>
      </c>
      <c r="V22" s="75"/>
      <c r="W22" s="75"/>
      <c r="X22" s="75"/>
      <c r="Y22" s="75"/>
    </row>
    <row r="23" ht="14.25" customHeight="1">
      <c r="A23" s="27">
        <v>6.0</v>
      </c>
      <c r="B23" s="43">
        <v>7890.0</v>
      </c>
      <c r="C23" s="43">
        <v>6411.0</v>
      </c>
      <c r="D23" s="30" t="s">
        <v>45</v>
      </c>
      <c r="E23" s="76" t="s">
        <v>46</v>
      </c>
      <c r="F23" s="37"/>
      <c r="G23" s="43"/>
      <c r="H23" s="43"/>
      <c r="I23" s="43"/>
      <c r="J23" s="63"/>
      <c r="K23" s="63"/>
      <c r="L23" s="63"/>
      <c r="M23" s="63"/>
      <c r="N23" s="43">
        <v>19975.0</v>
      </c>
      <c r="O23" s="43"/>
      <c r="P23" s="43"/>
      <c r="Q23" s="43">
        <v>13975.0</v>
      </c>
      <c r="R23" s="65"/>
      <c r="S23" s="37"/>
      <c r="T23" s="37"/>
      <c r="U23" s="65">
        <v>13995.0</v>
      </c>
    </row>
    <row r="24" ht="14.25" customHeight="1">
      <c r="A24" s="27">
        <v>7.0</v>
      </c>
      <c r="B24" s="43">
        <v>7918.0</v>
      </c>
      <c r="C24" s="43">
        <v>6438.0</v>
      </c>
      <c r="D24" s="30" t="s">
        <v>50</v>
      </c>
      <c r="E24" s="76" t="s">
        <v>51</v>
      </c>
      <c r="F24" s="59" t="s">
        <v>26</v>
      </c>
      <c r="G24" s="59" t="s">
        <v>26</v>
      </c>
      <c r="H24" s="59" t="s">
        <v>26</v>
      </c>
      <c r="I24" s="59" t="s">
        <v>26</v>
      </c>
      <c r="J24" s="59" t="s">
        <v>26</v>
      </c>
      <c r="K24" s="59" t="s">
        <v>26</v>
      </c>
      <c r="L24" s="59" t="s">
        <v>26</v>
      </c>
      <c r="M24" s="59" t="s">
        <v>26</v>
      </c>
      <c r="N24" s="59" t="s">
        <v>26</v>
      </c>
      <c r="O24" s="59" t="s">
        <v>26</v>
      </c>
      <c r="P24" s="59" t="s">
        <v>26</v>
      </c>
      <c r="Q24" s="59" t="s">
        <v>26</v>
      </c>
      <c r="R24" s="65"/>
      <c r="S24" s="37"/>
      <c r="T24" s="37"/>
      <c r="U24" s="65">
        <v>13995.0</v>
      </c>
    </row>
    <row r="25" ht="14.25" customHeight="1">
      <c r="A25" s="27">
        <v>8.0</v>
      </c>
      <c r="B25" s="29">
        <v>7543.0</v>
      </c>
      <c r="C25" s="29">
        <v>6187.0</v>
      </c>
      <c r="D25" s="30" t="s">
        <v>52</v>
      </c>
      <c r="E25" s="31" t="s">
        <v>53</v>
      </c>
      <c r="F25" s="77"/>
      <c r="G25" s="43"/>
      <c r="H25" s="43"/>
      <c r="I25" s="43"/>
      <c r="J25" s="63"/>
      <c r="K25" s="63"/>
      <c r="L25" s="63"/>
      <c r="M25" s="63"/>
      <c r="N25" s="43">
        <v>16575.0</v>
      </c>
      <c r="O25" s="43"/>
      <c r="P25" s="43"/>
      <c r="Q25" s="43">
        <v>14575.0</v>
      </c>
      <c r="R25" s="65">
        <v>19995.0</v>
      </c>
      <c r="S25" s="37"/>
      <c r="T25" s="37"/>
      <c r="U25" s="65">
        <v>16032.0</v>
      </c>
    </row>
    <row r="26" ht="14.25" customHeight="1">
      <c r="A26" s="27">
        <v>9.0</v>
      </c>
      <c r="B26" s="29">
        <v>7716.0</v>
      </c>
      <c r="C26" s="29">
        <v>6311.0</v>
      </c>
      <c r="D26" s="30" t="s">
        <v>54</v>
      </c>
      <c r="E26" s="62" t="s">
        <v>55</v>
      </c>
      <c r="F26" s="37" t="s">
        <v>56</v>
      </c>
      <c r="G26" s="37" t="s">
        <v>56</v>
      </c>
      <c r="H26" s="37" t="s">
        <v>56</v>
      </c>
      <c r="I26" s="37" t="s">
        <v>56</v>
      </c>
      <c r="J26" s="37" t="s">
        <v>56</v>
      </c>
      <c r="K26" s="37" t="s">
        <v>56</v>
      </c>
      <c r="L26" s="37" t="s">
        <v>56</v>
      </c>
      <c r="M26" s="37" t="s">
        <v>56</v>
      </c>
      <c r="N26" s="37" t="s">
        <v>56</v>
      </c>
      <c r="O26" s="37" t="s">
        <v>56</v>
      </c>
      <c r="P26" s="37" t="s">
        <v>56</v>
      </c>
      <c r="Q26" s="37" t="s">
        <v>56</v>
      </c>
      <c r="R26" s="81" t="s">
        <v>56</v>
      </c>
      <c r="S26" s="37" t="s">
        <v>56</v>
      </c>
      <c r="T26" s="37" t="s">
        <v>56</v>
      </c>
      <c r="U26" s="81" t="s">
        <v>56</v>
      </c>
    </row>
    <row r="27" ht="20.25" customHeight="1">
      <c r="A27" s="27">
        <v>10.0</v>
      </c>
      <c r="B27" s="29">
        <v>7731.0</v>
      </c>
      <c r="C27" s="29">
        <v>6324.0</v>
      </c>
      <c r="D27" s="30" t="s">
        <v>59</v>
      </c>
      <c r="E27" s="62" t="s">
        <v>60</v>
      </c>
      <c r="F27" s="37"/>
      <c r="G27" s="43"/>
      <c r="H27" s="43"/>
      <c r="I27" s="43"/>
      <c r="J27" s="64" t="s">
        <v>61</v>
      </c>
      <c r="K27" s="16"/>
      <c r="L27" s="16"/>
      <c r="M27" s="16"/>
      <c r="N27" s="43">
        <v>19975.0</v>
      </c>
      <c r="O27" s="43"/>
      <c r="P27" s="43"/>
      <c r="Q27" s="43">
        <v>17975.0</v>
      </c>
      <c r="R27" s="65">
        <v>19995.0</v>
      </c>
      <c r="S27" s="37"/>
      <c r="T27" s="37"/>
      <c r="U27" s="65">
        <v>18995.0</v>
      </c>
    </row>
    <row r="28" ht="14.25" customHeight="1">
      <c r="A28" s="27">
        <v>11.0</v>
      </c>
      <c r="B28" s="29">
        <v>7831.0</v>
      </c>
      <c r="C28" s="29">
        <v>6383.0</v>
      </c>
      <c r="D28" s="30" t="s">
        <v>64</v>
      </c>
      <c r="E28" s="62" t="s">
        <v>65</v>
      </c>
      <c r="F28" s="37"/>
      <c r="G28" s="43"/>
      <c r="H28" s="43"/>
      <c r="I28" s="43"/>
      <c r="J28" s="63"/>
      <c r="K28" s="63"/>
      <c r="L28" s="63"/>
      <c r="M28" s="63"/>
      <c r="N28" s="43"/>
      <c r="O28" s="43"/>
      <c r="P28" s="43"/>
      <c r="Q28" s="43">
        <v>11820.0</v>
      </c>
      <c r="R28" s="65">
        <v>19995.0</v>
      </c>
      <c r="S28" s="37"/>
      <c r="T28" s="37"/>
      <c r="U28" s="65">
        <v>13002.0</v>
      </c>
    </row>
    <row r="29" ht="14.25" customHeight="1">
      <c r="A29" s="27">
        <v>12.0</v>
      </c>
      <c r="B29" s="66">
        <v>7846.0</v>
      </c>
      <c r="C29" s="66">
        <v>6392.0</v>
      </c>
      <c r="D29" s="67" t="s">
        <v>68</v>
      </c>
      <c r="E29" s="68" t="s">
        <v>69</v>
      </c>
      <c r="F29" s="37"/>
      <c r="G29" s="43"/>
      <c r="H29" s="43"/>
      <c r="I29" s="43"/>
      <c r="J29" s="63"/>
      <c r="K29" s="63"/>
      <c r="L29" s="63"/>
      <c r="M29" s="63"/>
      <c r="N29" s="43">
        <v>19975.0</v>
      </c>
      <c r="O29" s="43"/>
      <c r="P29" s="43"/>
      <c r="Q29" s="43">
        <v>17975.0</v>
      </c>
      <c r="R29" s="65">
        <v>19995.0</v>
      </c>
      <c r="S29" s="37"/>
      <c r="T29" s="37"/>
      <c r="U29" s="65">
        <v>18995.0</v>
      </c>
    </row>
    <row r="30" ht="14.25" customHeight="1">
      <c r="A30" s="27">
        <v>13.0</v>
      </c>
      <c r="B30" s="29">
        <v>7856.0</v>
      </c>
      <c r="C30" s="43">
        <v>6397.0</v>
      </c>
      <c r="D30" s="30" t="s">
        <v>72</v>
      </c>
      <c r="E30" s="31" t="s">
        <v>73</v>
      </c>
      <c r="F30" s="37"/>
      <c r="G30" s="43"/>
      <c r="H30" s="43"/>
      <c r="I30" s="43"/>
      <c r="J30" s="63"/>
      <c r="K30" s="63"/>
      <c r="L30" s="63"/>
      <c r="M30" s="63"/>
      <c r="N30" s="43">
        <v>19975.0</v>
      </c>
      <c r="O30" s="43"/>
      <c r="P30" s="43"/>
      <c r="Q30" s="43">
        <v>13975.0</v>
      </c>
      <c r="R30" s="74">
        <v>19995.0</v>
      </c>
      <c r="S30" s="37"/>
      <c r="T30" s="37"/>
      <c r="U30" s="65">
        <v>15372.0</v>
      </c>
    </row>
    <row r="31" ht="14.25" customHeight="1">
      <c r="A31" s="27">
        <v>14.0</v>
      </c>
      <c r="B31" s="66">
        <v>7962.0</v>
      </c>
      <c r="C31" s="66">
        <v>6469.0</v>
      </c>
      <c r="D31" s="67" t="s">
        <v>74</v>
      </c>
      <c r="E31" s="68" t="s">
        <v>75</v>
      </c>
      <c r="F31" s="59" t="s">
        <v>26</v>
      </c>
      <c r="G31" s="59" t="s">
        <v>26</v>
      </c>
      <c r="H31" s="59" t="s">
        <v>26</v>
      </c>
      <c r="I31" s="59" t="s">
        <v>26</v>
      </c>
      <c r="J31" s="59" t="s">
        <v>26</v>
      </c>
      <c r="K31" s="59" t="s">
        <v>26</v>
      </c>
      <c r="L31" s="59" t="s">
        <v>26</v>
      </c>
      <c r="M31" s="59" t="s">
        <v>26</v>
      </c>
      <c r="N31" s="59" t="s">
        <v>26</v>
      </c>
      <c r="O31" s="59" t="s">
        <v>26</v>
      </c>
      <c r="P31" s="59" t="s">
        <v>26</v>
      </c>
      <c r="Q31" s="59" t="s">
        <v>26</v>
      </c>
      <c r="R31" s="65"/>
      <c r="S31" s="37"/>
      <c r="T31" s="37"/>
      <c r="U31" s="65">
        <v>13975.0</v>
      </c>
    </row>
    <row r="32" ht="14.25" customHeight="1">
      <c r="A32" s="27">
        <v>15.0</v>
      </c>
      <c r="B32" s="66">
        <v>7973.0</v>
      </c>
      <c r="C32" s="66">
        <v>6476.0</v>
      </c>
      <c r="D32" s="67" t="s">
        <v>78</v>
      </c>
      <c r="E32" s="68" t="s">
        <v>79</v>
      </c>
      <c r="F32" s="59" t="s">
        <v>26</v>
      </c>
      <c r="G32" s="59" t="s">
        <v>26</v>
      </c>
      <c r="H32" s="59" t="s">
        <v>26</v>
      </c>
      <c r="I32" s="59" t="s">
        <v>26</v>
      </c>
      <c r="J32" s="59" t="s">
        <v>26</v>
      </c>
      <c r="K32" s="59" t="s">
        <v>26</v>
      </c>
      <c r="L32" s="59" t="s">
        <v>26</v>
      </c>
      <c r="M32" s="59" t="s">
        <v>26</v>
      </c>
      <c r="N32" s="59" t="s">
        <v>26</v>
      </c>
      <c r="O32" s="59" t="s">
        <v>26</v>
      </c>
      <c r="P32" s="59" t="s">
        <v>26</v>
      </c>
      <c r="Q32" s="59" t="s">
        <v>26</v>
      </c>
      <c r="R32" s="81" t="s">
        <v>56</v>
      </c>
      <c r="S32" s="37"/>
      <c r="T32" s="37"/>
      <c r="U32" s="81" t="s">
        <v>56</v>
      </c>
    </row>
    <row r="33" ht="14.25" customHeight="1">
      <c r="A33" s="69">
        <v>16.0</v>
      </c>
      <c r="B33" s="83">
        <v>7886.0</v>
      </c>
      <c r="C33" s="83">
        <v>6409.0</v>
      </c>
      <c r="D33" s="84" t="s">
        <v>82</v>
      </c>
      <c r="E33" s="84"/>
      <c r="F33" s="85" t="s">
        <v>26</v>
      </c>
      <c r="G33" s="85" t="s">
        <v>26</v>
      </c>
      <c r="H33" s="85" t="s">
        <v>26</v>
      </c>
      <c r="I33" s="85" t="s">
        <v>26</v>
      </c>
      <c r="J33" s="85" t="s">
        <v>26</v>
      </c>
      <c r="K33" s="85" t="s">
        <v>26</v>
      </c>
      <c r="L33" s="85" t="s">
        <v>26</v>
      </c>
      <c r="M33" s="85" t="s">
        <v>26</v>
      </c>
      <c r="N33" s="85" t="s">
        <v>26</v>
      </c>
      <c r="O33" s="85" t="s">
        <v>26</v>
      </c>
      <c r="P33" s="85" t="s">
        <v>26</v>
      </c>
      <c r="Q33" s="85" t="s">
        <v>26</v>
      </c>
      <c r="R33" s="74">
        <v>19995.0</v>
      </c>
      <c r="S33" s="73"/>
      <c r="T33" s="73"/>
      <c r="U33" s="74">
        <v>15372.0</v>
      </c>
      <c r="V33" s="75"/>
      <c r="W33" s="75"/>
      <c r="X33" s="75"/>
      <c r="Y33" s="75"/>
    </row>
    <row r="34" ht="14.25" customHeight="1">
      <c r="A34" s="3" t="s">
        <v>3</v>
      </c>
      <c r="B34" s="3"/>
      <c r="C34" s="3"/>
      <c r="D34" s="3"/>
      <c r="E34" s="40"/>
      <c r="F34" s="4"/>
      <c r="G34" s="5"/>
      <c r="H34" s="5"/>
      <c r="I34" s="5"/>
      <c r="J34" s="6"/>
      <c r="K34" s="6"/>
      <c r="L34" s="6"/>
      <c r="M34" s="6"/>
      <c r="N34" s="5"/>
      <c r="O34" s="5"/>
      <c r="P34" s="5"/>
      <c r="Q34" s="5"/>
    </row>
    <row r="35" ht="14.25" customHeight="1">
      <c r="A35" s="3" t="s">
        <v>4</v>
      </c>
      <c r="B35" s="3"/>
      <c r="C35" s="3"/>
      <c r="D35" s="3"/>
      <c r="E35" s="40"/>
      <c r="F35" s="4"/>
      <c r="G35" s="5"/>
      <c r="H35" s="5"/>
      <c r="I35" s="5"/>
      <c r="J35" s="6"/>
      <c r="K35" s="6"/>
      <c r="L35" s="6"/>
      <c r="M35" s="6"/>
      <c r="N35" s="5"/>
      <c r="O35" s="5"/>
      <c r="P35" s="5"/>
      <c r="Q35" s="5"/>
    </row>
    <row r="36" ht="14.25" customHeight="1">
      <c r="A36" s="3"/>
      <c r="B36" s="39"/>
      <c r="C36" s="39"/>
      <c r="D36" s="87"/>
      <c r="E36" s="40"/>
      <c r="F36" s="4"/>
      <c r="G36" s="5"/>
      <c r="H36" s="5"/>
      <c r="I36" s="5"/>
      <c r="J36" s="6"/>
      <c r="K36" s="6"/>
      <c r="L36" s="6"/>
      <c r="M36" s="6"/>
      <c r="N36" s="5"/>
      <c r="O36" s="5"/>
      <c r="P36" s="5"/>
      <c r="Q36" s="5"/>
    </row>
    <row r="37" ht="14.25" customHeight="1">
      <c r="A37" s="2" t="s">
        <v>2</v>
      </c>
    </row>
    <row r="38" ht="14.25" customHeight="1">
      <c r="A38" s="8" t="s">
        <v>85</v>
      </c>
    </row>
    <row r="39" ht="14.25" customHeight="1">
      <c r="A39" s="12" t="s">
        <v>7</v>
      </c>
    </row>
    <row r="40" ht="24.75" customHeight="1">
      <c r="A40" s="88" t="s">
        <v>8</v>
      </c>
      <c r="B40" s="88" t="s">
        <v>9</v>
      </c>
      <c r="C40" s="89" t="s">
        <v>10</v>
      </c>
      <c r="D40" s="90" t="s">
        <v>11</v>
      </c>
      <c r="E40" s="91" t="s">
        <v>12</v>
      </c>
      <c r="F40" s="92" t="s">
        <v>13</v>
      </c>
      <c r="G40" s="93"/>
      <c r="H40" s="93"/>
      <c r="I40" s="94"/>
      <c r="J40" s="95" t="s">
        <v>15</v>
      </c>
      <c r="K40" s="93"/>
      <c r="L40" s="93"/>
      <c r="M40" s="96"/>
      <c r="N40" s="97" t="s">
        <v>17</v>
      </c>
      <c r="O40" s="93"/>
      <c r="P40" s="93"/>
      <c r="Q40" s="98"/>
      <c r="R40" s="52" t="s">
        <v>18</v>
      </c>
      <c r="S40" s="16"/>
      <c r="T40" s="16"/>
      <c r="U40" s="16"/>
    </row>
    <row r="41" ht="14.25" customHeight="1">
      <c r="A41" s="22"/>
      <c r="B41" s="22"/>
      <c r="C41" s="22"/>
      <c r="D41" s="22"/>
      <c r="E41" s="22"/>
      <c r="F41" s="25" t="s">
        <v>20</v>
      </c>
      <c r="G41" s="25" t="s">
        <v>21</v>
      </c>
      <c r="H41" s="25" t="s">
        <v>22</v>
      </c>
      <c r="I41" s="25" t="s">
        <v>23</v>
      </c>
      <c r="J41" s="25" t="s">
        <v>20</v>
      </c>
      <c r="K41" s="25" t="s">
        <v>21</v>
      </c>
      <c r="L41" s="25" t="s">
        <v>22</v>
      </c>
      <c r="M41" s="25" t="s">
        <v>23</v>
      </c>
      <c r="N41" s="25" t="s">
        <v>20</v>
      </c>
      <c r="O41" s="25" t="s">
        <v>21</v>
      </c>
      <c r="P41" s="25" t="s">
        <v>22</v>
      </c>
      <c r="Q41" s="25" t="s">
        <v>23</v>
      </c>
      <c r="R41" s="25" t="s">
        <v>20</v>
      </c>
      <c r="S41" s="25" t="s">
        <v>21</v>
      </c>
      <c r="T41" s="25" t="s">
        <v>22</v>
      </c>
      <c r="U41" s="25" t="s">
        <v>23</v>
      </c>
    </row>
    <row r="42" ht="22.5" customHeight="1">
      <c r="A42" s="99">
        <v>1.0</v>
      </c>
      <c r="B42" s="100">
        <v>7223.0</v>
      </c>
      <c r="C42" s="100">
        <v>5953.0</v>
      </c>
      <c r="D42" s="101" t="s">
        <v>86</v>
      </c>
      <c r="E42" s="102" t="s">
        <v>87</v>
      </c>
      <c r="F42" s="103"/>
      <c r="G42" s="37"/>
      <c r="H42" s="37"/>
      <c r="I42" s="37"/>
      <c r="J42" s="37">
        <v>16575.0</v>
      </c>
      <c r="K42" s="37"/>
      <c r="L42" s="37"/>
      <c r="M42" s="37">
        <v>16575.0</v>
      </c>
      <c r="N42" s="103"/>
      <c r="O42" s="37"/>
      <c r="P42" s="37"/>
      <c r="Q42" s="104">
        <v>18975.0</v>
      </c>
      <c r="R42" s="105">
        <v>19995.0</v>
      </c>
      <c r="S42" s="27"/>
      <c r="T42" s="27"/>
      <c r="U42" s="27">
        <f t="shared" ref="U42:U51" si="1">Q42*110%</f>
        <v>20872.5</v>
      </c>
    </row>
    <row r="43" ht="14.25" customHeight="1">
      <c r="A43" s="99">
        <v>2.0</v>
      </c>
      <c r="B43" s="100">
        <v>7462.0</v>
      </c>
      <c r="C43" s="100">
        <v>6160.0</v>
      </c>
      <c r="D43" s="101" t="s">
        <v>88</v>
      </c>
      <c r="E43" s="102"/>
      <c r="F43" s="103"/>
      <c r="G43" s="37"/>
      <c r="H43" s="37"/>
      <c r="I43" s="37"/>
      <c r="J43" s="103">
        <v>16575.0</v>
      </c>
      <c r="K43" s="37"/>
      <c r="L43" s="37"/>
      <c r="M43" s="37">
        <v>14575.0</v>
      </c>
      <c r="N43" s="103"/>
      <c r="O43" s="37"/>
      <c r="P43" s="37"/>
      <c r="Q43" s="104">
        <v>16975.0</v>
      </c>
      <c r="R43" s="105">
        <v>19995.0</v>
      </c>
      <c r="S43" s="27"/>
      <c r="T43" s="27"/>
      <c r="U43" s="27">
        <f t="shared" si="1"/>
        <v>18672.5</v>
      </c>
    </row>
    <row r="44" ht="14.25" customHeight="1">
      <c r="A44" s="99">
        <v>3.0</v>
      </c>
      <c r="B44" s="100">
        <v>7463.0</v>
      </c>
      <c r="C44" s="100">
        <v>6162.0</v>
      </c>
      <c r="D44" s="101" t="s">
        <v>89</v>
      </c>
      <c r="E44" s="102"/>
      <c r="F44" s="103"/>
      <c r="G44" s="37"/>
      <c r="H44" s="37"/>
      <c r="I44" s="37"/>
      <c r="J44" s="103">
        <v>16575.0</v>
      </c>
      <c r="K44" s="37"/>
      <c r="L44" s="37"/>
      <c r="M44" s="37">
        <v>14575.0</v>
      </c>
      <c r="N44" s="103"/>
      <c r="O44" s="37"/>
      <c r="P44" s="37"/>
      <c r="Q44" s="104">
        <v>16975.0</v>
      </c>
      <c r="R44" s="105">
        <v>19995.0</v>
      </c>
      <c r="S44" s="27"/>
      <c r="T44" s="27"/>
      <c r="U44" s="27">
        <f t="shared" si="1"/>
        <v>18672.5</v>
      </c>
    </row>
    <row r="45" ht="14.25" customHeight="1">
      <c r="A45" s="99">
        <v>4.0</v>
      </c>
      <c r="B45" s="100">
        <v>7382.0</v>
      </c>
      <c r="C45" s="100">
        <v>6098.0</v>
      </c>
      <c r="D45" s="101" t="s">
        <v>93</v>
      </c>
      <c r="E45" s="102" t="s">
        <v>94</v>
      </c>
      <c r="F45" s="103"/>
      <c r="G45" s="37"/>
      <c r="H45" s="37"/>
      <c r="I45" s="37"/>
      <c r="J45" s="103">
        <v>16575.0</v>
      </c>
      <c r="K45" s="37"/>
      <c r="L45" s="37"/>
      <c r="M45" s="37">
        <v>14575.0</v>
      </c>
      <c r="N45" s="103"/>
      <c r="O45" s="37"/>
      <c r="P45" s="37"/>
      <c r="Q45" s="104">
        <v>16975.0</v>
      </c>
      <c r="R45" s="105">
        <v>19995.0</v>
      </c>
      <c r="S45" s="27"/>
      <c r="T45" s="27"/>
      <c r="U45" s="27">
        <f t="shared" si="1"/>
        <v>18672.5</v>
      </c>
    </row>
    <row r="46" ht="14.25" customHeight="1">
      <c r="A46" s="99">
        <v>5.0</v>
      </c>
      <c r="B46" s="100">
        <v>7450.0</v>
      </c>
      <c r="C46" s="100">
        <v>6150.0</v>
      </c>
      <c r="D46" s="101" t="s">
        <v>97</v>
      </c>
      <c r="E46" s="102" t="s">
        <v>98</v>
      </c>
      <c r="F46" s="103"/>
      <c r="G46" s="37"/>
      <c r="H46" s="37"/>
      <c r="I46" s="37"/>
      <c r="J46" s="103">
        <v>16575.0</v>
      </c>
      <c r="K46" s="37"/>
      <c r="L46" s="37"/>
      <c r="M46" s="37">
        <v>16575.0</v>
      </c>
      <c r="N46" s="103"/>
      <c r="O46" s="37"/>
      <c r="P46" s="37"/>
      <c r="Q46" s="104">
        <v>17975.0</v>
      </c>
      <c r="R46" s="105">
        <v>19995.0</v>
      </c>
      <c r="S46" s="27"/>
      <c r="T46" s="27"/>
      <c r="U46" s="27">
        <f t="shared" si="1"/>
        <v>19772.5</v>
      </c>
    </row>
    <row r="47" ht="14.25" customHeight="1">
      <c r="A47" s="99">
        <v>6.0</v>
      </c>
      <c r="B47" s="100">
        <v>7414.0</v>
      </c>
      <c r="C47" s="100">
        <v>6121.0</v>
      </c>
      <c r="D47" s="101" t="s">
        <v>99</v>
      </c>
      <c r="E47" s="102" t="s">
        <v>100</v>
      </c>
      <c r="F47" s="103"/>
      <c r="G47" s="37"/>
      <c r="H47" s="37"/>
      <c r="I47" s="37"/>
      <c r="J47" s="103">
        <v>16575.0</v>
      </c>
      <c r="K47" s="103">
        <v>16575.0</v>
      </c>
      <c r="L47" s="103">
        <v>16575.0</v>
      </c>
      <c r="M47" s="37">
        <v>16575.0</v>
      </c>
      <c r="N47" s="103"/>
      <c r="O47" s="37"/>
      <c r="P47" s="37"/>
      <c r="Q47" s="104">
        <v>19575.0</v>
      </c>
      <c r="R47" s="105">
        <v>19995.0</v>
      </c>
      <c r="S47" s="27"/>
      <c r="T47" s="27"/>
      <c r="U47" s="27">
        <f t="shared" si="1"/>
        <v>21532.5</v>
      </c>
    </row>
    <row r="48" ht="14.25" customHeight="1">
      <c r="A48" s="99">
        <v>7.0</v>
      </c>
      <c r="B48" s="100">
        <v>7427.0</v>
      </c>
      <c r="C48" s="100">
        <v>6133.0</v>
      </c>
      <c r="D48" s="101" t="s">
        <v>101</v>
      </c>
      <c r="E48" s="102" t="s">
        <v>102</v>
      </c>
      <c r="F48" s="103"/>
      <c r="G48" s="37"/>
      <c r="H48" s="37"/>
      <c r="I48" s="37"/>
      <c r="J48" s="103">
        <v>16575.0</v>
      </c>
      <c r="K48" s="37"/>
      <c r="L48" s="37"/>
      <c r="M48" s="103">
        <v>16575.0</v>
      </c>
      <c r="N48" s="103"/>
      <c r="O48" s="37"/>
      <c r="P48" s="37"/>
      <c r="Q48" s="104">
        <v>17975.0</v>
      </c>
      <c r="R48" s="105">
        <v>19995.0</v>
      </c>
      <c r="S48" s="27"/>
      <c r="T48" s="27"/>
      <c r="U48" s="27">
        <f t="shared" si="1"/>
        <v>19772.5</v>
      </c>
    </row>
    <row r="49" ht="14.25" customHeight="1">
      <c r="A49" s="99">
        <v>8.0</v>
      </c>
      <c r="B49" s="100">
        <v>7438.0</v>
      </c>
      <c r="C49" s="100">
        <v>6142.0</v>
      </c>
      <c r="D49" s="101" t="s">
        <v>103</v>
      </c>
      <c r="E49" s="102" t="s">
        <v>104</v>
      </c>
      <c r="F49" s="103"/>
      <c r="G49" s="37"/>
      <c r="H49" s="37"/>
      <c r="I49" s="37"/>
      <c r="J49" s="103">
        <v>16575.0</v>
      </c>
      <c r="K49" s="37"/>
      <c r="L49" s="37"/>
      <c r="M49" s="37">
        <v>14000.0</v>
      </c>
      <c r="N49" s="103"/>
      <c r="O49" s="37"/>
      <c r="P49" s="37"/>
      <c r="Q49" s="104">
        <v>16975.0</v>
      </c>
      <c r="R49" s="105">
        <v>19995.0</v>
      </c>
      <c r="S49" s="27"/>
      <c r="T49" s="27"/>
      <c r="U49" s="27">
        <f t="shared" si="1"/>
        <v>18672.5</v>
      </c>
    </row>
    <row r="50" ht="14.25" customHeight="1">
      <c r="A50" s="99">
        <v>9.0</v>
      </c>
      <c r="B50" s="100">
        <v>7469.0</v>
      </c>
      <c r="C50" s="100">
        <v>6169.0</v>
      </c>
      <c r="D50" s="107" t="s">
        <v>105</v>
      </c>
      <c r="E50" s="107"/>
      <c r="F50" s="37"/>
      <c r="G50" s="37"/>
      <c r="H50" s="37"/>
      <c r="I50" s="37"/>
      <c r="J50" s="37"/>
      <c r="K50" s="37"/>
      <c r="L50" s="37"/>
      <c r="M50" s="37">
        <v>14575.0</v>
      </c>
      <c r="N50" s="37"/>
      <c r="O50" s="37"/>
      <c r="P50" s="37"/>
      <c r="Q50" s="104">
        <v>16975.0</v>
      </c>
      <c r="R50" s="105">
        <v>19995.0</v>
      </c>
      <c r="S50" s="27"/>
      <c r="T50" s="27"/>
      <c r="U50" s="27">
        <f t="shared" si="1"/>
        <v>18672.5</v>
      </c>
    </row>
    <row r="51" ht="14.25" customHeight="1">
      <c r="A51" s="99">
        <v>10.0</v>
      </c>
      <c r="B51" s="100">
        <v>7531.0</v>
      </c>
      <c r="C51" s="100">
        <v>6177.0</v>
      </c>
      <c r="D51" s="107" t="s">
        <v>106</v>
      </c>
      <c r="E51" s="107" t="s">
        <v>107</v>
      </c>
      <c r="F51" s="37"/>
      <c r="G51" s="37"/>
      <c r="H51" s="37"/>
      <c r="I51" s="37"/>
      <c r="J51" s="37"/>
      <c r="K51" s="37"/>
      <c r="L51" s="37"/>
      <c r="M51" s="37">
        <v>12575.0</v>
      </c>
      <c r="N51" s="37"/>
      <c r="O51" s="37"/>
      <c r="P51" s="37"/>
      <c r="Q51" s="104">
        <v>15975.0</v>
      </c>
      <c r="R51" s="105">
        <v>19995.0</v>
      </c>
      <c r="S51" s="27"/>
      <c r="T51" s="27"/>
      <c r="U51" s="27">
        <f t="shared" si="1"/>
        <v>17572.5</v>
      </c>
    </row>
    <row r="52" ht="14.25" customHeight="1">
      <c r="A52" s="99">
        <v>11.0</v>
      </c>
      <c r="B52" s="100">
        <v>7182.0</v>
      </c>
      <c r="C52" s="100">
        <v>5926.0</v>
      </c>
      <c r="D52" s="107" t="s">
        <v>108</v>
      </c>
      <c r="E52" s="54" t="s">
        <v>109</v>
      </c>
      <c r="F52" s="37" t="s">
        <v>56</v>
      </c>
      <c r="G52" s="37" t="s">
        <v>56</v>
      </c>
      <c r="H52" s="37" t="s">
        <v>56</v>
      </c>
      <c r="I52" s="37" t="s">
        <v>56</v>
      </c>
      <c r="J52" s="37" t="s">
        <v>56</v>
      </c>
      <c r="K52" s="37" t="s">
        <v>56</v>
      </c>
      <c r="L52" s="37" t="s">
        <v>56</v>
      </c>
      <c r="M52" s="37" t="s">
        <v>56</v>
      </c>
      <c r="N52" s="37"/>
      <c r="O52" s="37"/>
      <c r="P52" s="37"/>
      <c r="Q52" s="104" t="s">
        <v>56</v>
      </c>
      <c r="R52" s="105" t="s">
        <v>110</v>
      </c>
      <c r="S52" s="105" t="s">
        <v>110</v>
      </c>
      <c r="T52" s="105" t="s">
        <v>110</v>
      </c>
      <c r="U52" s="105" t="s">
        <v>110</v>
      </c>
    </row>
    <row r="53" ht="14.25" customHeight="1">
      <c r="A53" s="99">
        <v>12.0</v>
      </c>
      <c r="B53" s="100">
        <v>7719.0</v>
      </c>
      <c r="C53" s="100">
        <v>6314.0</v>
      </c>
      <c r="D53" s="107" t="s">
        <v>111</v>
      </c>
      <c r="E53" s="54"/>
      <c r="F53" s="37"/>
      <c r="G53" s="37"/>
      <c r="H53" s="37"/>
      <c r="I53" s="37"/>
      <c r="J53" s="37"/>
      <c r="K53" s="37"/>
      <c r="L53" s="37"/>
      <c r="M53" s="37"/>
      <c r="N53" s="37">
        <v>19975.0</v>
      </c>
      <c r="O53" s="37"/>
      <c r="P53" s="37"/>
      <c r="Q53" s="104">
        <v>17975.0</v>
      </c>
      <c r="R53" s="105">
        <v>19995.0</v>
      </c>
      <c r="S53" s="27"/>
      <c r="T53" s="27"/>
      <c r="U53" s="27">
        <f t="shared" ref="U53:U55" si="2">Q53*110%</f>
        <v>19772.5</v>
      </c>
    </row>
    <row r="54" ht="14.25" customHeight="1">
      <c r="A54" s="99">
        <v>13.0</v>
      </c>
      <c r="B54" s="100">
        <v>7732.0</v>
      </c>
      <c r="C54" s="100">
        <v>6325.0</v>
      </c>
      <c r="D54" s="107" t="s">
        <v>112</v>
      </c>
      <c r="E54" s="54"/>
      <c r="F54" s="37"/>
      <c r="G54" s="37"/>
      <c r="H54" s="37"/>
      <c r="I54" s="37"/>
      <c r="J54" s="37"/>
      <c r="K54" s="37"/>
      <c r="L54" s="37"/>
      <c r="M54" s="37"/>
      <c r="N54" s="37">
        <v>19975.0</v>
      </c>
      <c r="O54" s="37"/>
      <c r="P54" s="37"/>
      <c r="Q54" s="104">
        <v>17975.0</v>
      </c>
      <c r="R54" s="105">
        <v>19995.0</v>
      </c>
      <c r="S54" s="27"/>
      <c r="T54" s="27"/>
      <c r="U54" s="27">
        <f t="shared" si="2"/>
        <v>19772.5</v>
      </c>
    </row>
    <row r="55" ht="14.25" customHeight="1">
      <c r="A55" s="99">
        <v>14.0</v>
      </c>
      <c r="B55" s="100">
        <v>7844.0</v>
      </c>
      <c r="C55" s="100">
        <v>6391.0</v>
      </c>
      <c r="D55" s="107" t="s">
        <v>116</v>
      </c>
      <c r="E55" s="54"/>
      <c r="F55" s="37"/>
      <c r="G55" s="37"/>
      <c r="H55" s="37"/>
      <c r="I55" s="37"/>
      <c r="J55" s="37"/>
      <c r="K55" s="37"/>
      <c r="L55" s="37"/>
      <c r="M55" s="37"/>
      <c r="N55" s="37">
        <v>19975.0</v>
      </c>
      <c r="O55" s="37"/>
      <c r="P55" s="37"/>
      <c r="Q55" s="104">
        <v>13975.0</v>
      </c>
      <c r="R55" s="105">
        <v>19995.0</v>
      </c>
      <c r="S55" s="27"/>
      <c r="T55" s="27"/>
      <c r="U55" s="27">
        <f t="shared" si="2"/>
        <v>15372.5</v>
      </c>
    </row>
    <row r="56" ht="14.25" customHeight="1">
      <c r="A56" s="109">
        <v>15.0</v>
      </c>
      <c r="B56" s="110">
        <v>7975.0</v>
      </c>
      <c r="C56" s="110">
        <v>6477.0</v>
      </c>
      <c r="D56" s="111" t="s">
        <v>117</v>
      </c>
      <c r="E56" s="111"/>
      <c r="F56" s="73"/>
      <c r="G56" s="73"/>
      <c r="H56" s="73"/>
      <c r="I56" s="73"/>
      <c r="J56" s="73"/>
      <c r="K56" s="73"/>
      <c r="L56" s="73"/>
      <c r="M56" s="73"/>
      <c r="N56" s="73">
        <v>19975.0</v>
      </c>
      <c r="O56" s="73"/>
      <c r="P56" s="73"/>
      <c r="Q56" s="112">
        <v>13975.0</v>
      </c>
      <c r="R56" s="113">
        <v>19995.0</v>
      </c>
      <c r="S56" s="69"/>
      <c r="T56" s="69"/>
      <c r="U56" s="113">
        <v>13975.0</v>
      </c>
      <c r="V56" s="75"/>
      <c r="W56" s="75"/>
      <c r="X56" s="75"/>
      <c r="Y56" s="75"/>
    </row>
    <row r="57" ht="14.25" customHeight="1">
      <c r="A57" s="99">
        <v>16.0</v>
      </c>
      <c r="B57" s="100">
        <v>7416.0</v>
      </c>
      <c r="C57" s="100">
        <v>6124.0</v>
      </c>
      <c r="D57" s="107" t="s">
        <v>118</v>
      </c>
      <c r="E57" s="107"/>
      <c r="F57" s="37" t="s">
        <v>56</v>
      </c>
      <c r="G57" s="37" t="s">
        <v>56</v>
      </c>
      <c r="H57" s="37" t="s">
        <v>56</v>
      </c>
      <c r="I57" s="37" t="s">
        <v>56</v>
      </c>
      <c r="J57" s="37" t="s">
        <v>56</v>
      </c>
      <c r="K57" s="37" t="s">
        <v>56</v>
      </c>
      <c r="L57" s="37" t="s">
        <v>56</v>
      </c>
      <c r="M57" s="37" t="s">
        <v>56</v>
      </c>
      <c r="N57" s="37" t="s">
        <v>56</v>
      </c>
      <c r="O57" s="37" t="s">
        <v>56</v>
      </c>
      <c r="P57" s="37" t="s">
        <v>56</v>
      </c>
      <c r="Q57" s="104" t="s">
        <v>56</v>
      </c>
      <c r="R57" s="105" t="s">
        <v>110</v>
      </c>
      <c r="S57" s="105" t="s">
        <v>110</v>
      </c>
      <c r="T57" s="105" t="s">
        <v>110</v>
      </c>
      <c r="U57" s="105" t="s">
        <v>110</v>
      </c>
    </row>
    <row r="58" ht="14.25" customHeight="1">
      <c r="A58" s="99">
        <v>17.0</v>
      </c>
      <c r="B58" s="100">
        <v>7561.0</v>
      </c>
      <c r="C58" s="100">
        <v>6191.0</v>
      </c>
      <c r="D58" s="107" t="s">
        <v>119</v>
      </c>
      <c r="E58" s="107"/>
      <c r="F58" s="37"/>
      <c r="G58" s="37"/>
      <c r="H58" s="37"/>
      <c r="I58" s="37"/>
      <c r="J58" s="37"/>
      <c r="K58" s="37"/>
      <c r="L58" s="37"/>
      <c r="M58" s="37"/>
      <c r="N58" s="37">
        <v>16575.0</v>
      </c>
      <c r="O58" s="37"/>
      <c r="P58" s="37"/>
      <c r="Q58" s="104">
        <v>16575.0</v>
      </c>
      <c r="R58" s="105">
        <v>19995.0</v>
      </c>
      <c r="S58" s="27"/>
      <c r="T58" s="27"/>
      <c r="U58" s="27">
        <f>Q58*110%</f>
        <v>18232.5</v>
      </c>
    </row>
    <row r="59" ht="14.25" customHeight="1">
      <c r="A59" s="88" t="s">
        <v>8</v>
      </c>
      <c r="B59" s="88" t="s">
        <v>9</v>
      </c>
      <c r="C59" s="89" t="s">
        <v>10</v>
      </c>
      <c r="D59" s="90" t="s">
        <v>11</v>
      </c>
      <c r="E59" s="91" t="s">
        <v>12</v>
      </c>
      <c r="F59" s="92" t="s">
        <v>13</v>
      </c>
      <c r="G59" s="93"/>
      <c r="H59" s="93"/>
      <c r="I59" s="94"/>
      <c r="J59" s="95" t="s">
        <v>15</v>
      </c>
      <c r="K59" s="93"/>
      <c r="L59" s="93"/>
      <c r="M59" s="96"/>
      <c r="N59" s="97" t="s">
        <v>17</v>
      </c>
      <c r="O59" s="93"/>
      <c r="P59" s="93"/>
      <c r="Q59" s="98"/>
      <c r="R59" s="20" t="s">
        <v>18</v>
      </c>
      <c r="S59" s="16"/>
      <c r="T59" s="16"/>
      <c r="U59" s="16"/>
    </row>
    <row r="60" ht="14.25" customHeight="1">
      <c r="A60" s="22"/>
      <c r="B60" s="22"/>
      <c r="C60" s="22"/>
      <c r="D60" s="22"/>
      <c r="E60" s="22"/>
      <c r="F60" s="25" t="s">
        <v>20</v>
      </c>
      <c r="G60" s="25" t="s">
        <v>21</v>
      </c>
      <c r="H60" s="25" t="s">
        <v>22</v>
      </c>
      <c r="I60" s="25" t="s">
        <v>23</v>
      </c>
      <c r="J60" s="25" t="s">
        <v>20</v>
      </c>
      <c r="K60" s="25" t="s">
        <v>21</v>
      </c>
      <c r="L60" s="25" t="s">
        <v>22</v>
      </c>
      <c r="M60" s="25" t="s">
        <v>23</v>
      </c>
      <c r="N60" s="25" t="s">
        <v>20</v>
      </c>
      <c r="O60" s="25" t="s">
        <v>21</v>
      </c>
      <c r="P60" s="25" t="s">
        <v>22</v>
      </c>
      <c r="Q60" s="25" t="s">
        <v>23</v>
      </c>
      <c r="R60" s="25" t="s">
        <v>20</v>
      </c>
      <c r="S60" s="25" t="s">
        <v>21</v>
      </c>
      <c r="T60" s="25" t="s">
        <v>22</v>
      </c>
      <c r="U60" s="25" t="s">
        <v>23</v>
      </c>
    </row>
    <row r="61" ht="14.25" customHeight="1">
      <c r="A61" s="99">
        <v>18.0</v>
      </c>
      <c r="B61" s="100">
        <v>7637.0</v>
      </c>
      <c r="C61" s="100">
        <v>6252.0</v>
      </c>
      <c r="D61" s="107" t="s">
        <v>120</v>
      </c>
      <c r="E61" s="107"/>
      <c r="F61" s="37"/>
      <c r="G61" s="37"/>
      <c r="H61" s="37"/>
      <c r="I61" s="37"/>
      <c r="J61" s="37"/>
      <c r="K61" s="37"/>
      <c r="L61" s="37"/>
      <c r="M61" s="37"/>
      <c r="N61" s="37">
        <v>18575.0</v>
      </c>
      <c r="O61" s="37"/>
      <c r="P61" s="37"/>
      <c r="Q61" s="104">
        <v>8288.0</v>
      </c>
      <c r="R61" s="105">
        <v>19995.0</v>
      </c>
      <c r="S61" s="27"/>
      <c r="T61" s="27"/>
      <c r="U61" s="27">
        <f t="shared" ref="U61:U64" si="3">Q61*110%</f>
        <v>9116.8</v>
      </c>
    </row>
    <row r="62" ht="14.25" customHeight="1">
      <c r="A62" s="99">
        <v>19.0</v>
      </c>
      <c r="B62" s="100">
        <v>7669.0</v>
      </c>
      <c r="C62" s="100">
        <v>6277.0</v>
      </c>
      <c r="D62" s="107" t="s">
        <v>121</v>
      </c>
      <c r="E62" s="107"/>
      <c r="F62" s="37"/>
      <c r="G62" s="37"/>
      <c r="H62" s="37"/>
      <c r="I62" s="37"/>
      <c r="J62" s="37"/>
      <c r="K62" s="37"/>
      <c r="L62" s="37"/>
      <c r="M62" s="37"/>
      <c r="N62" s="37">
        <v>18575.0</v>
      </c>
      <c r="O62" s="37"/>
      <c r="P62" s="37"/>
      <c r="Q62" s="104">
        <v>16575.0</v>
      </c>
      <c r="R62" s="105">
        <v>19995.0</v>
      </c>
      <c r="S62" s="27"/>
      <c r="T62" s="27"/>
      <c r="U62" s="27">
        <f t="shared" si="3"/>
        <v>18232.5</v>
      </c>
    </row>
    <row r="63" ht="14.25" customHeight="1">
      <c r="A63" s="99">
        <v>20.0</v>
      </c>
      <c r="B63" s="100">
        <v>7691.0</v>
      </c>
      <c r="C63" s="100">
        <v>6294.0</v>
      </c>
      <c r="D63" s="107" t="s">
        <v>122</v>
      </c>
      <c r="E63" s="107"/>
      <c r="F63" s="37"/>
      <c r="G63" s="37"/>
      <c r="H63" s="37"/>
      <c r="I63" s="37"/>
      <c r="J63" s="37"/>
      <c r="K63" s="37"/>
      <c r="L63" s="37"/>
      <c r="M63" s="37"/>
      <c r="N63" s="37">
        <v>19975.0</v>
      </c>
      <c r="O63" s="37"/>
      <c r="P63" s="37"/>
      <c r="Q63" s="104">
        <v>14575.0</v>
      </c>
      <c r="R63" s="105">
        <v>19995.0</v>
      </c>
      <c r="S63" s="27"/>
      <c r="T63" s="27"/>
      <c r="U63" s="27">
        <f t="shared" si="3"/>
        <v>16032.5</v>
      </c>
    </row>
    <row r="64" ht="14.25" customHeight="1">
      <c r="A64" s="99">
        <v>21.0</v>
      </c>
      <c r="B64" s="100">
        <v>7729.0</v>
      </c>
      <c r="C64" s="100">
        <v>6323.0</v>
      </c>
      <c r="D64" s="107" t="s">
        <v>125</v>
      </c>
      <c r="E64" s="107"/>
      <c r="F64" s="37"/>
      <c r="G64" s="37"/>
      <c r="H64" s="37"/>
      <c r="I64" s="37"/>
      <c r="J64" s="37"/>
      <c r="K64" s="37"/>
      <c r="L64" s="37"/>
      <c r="M64" s="37"/>
      <c r="N64" s="37">
        <v>19975.0</v>
      </c>
      <c r="O64" s="37"/>
      <c r="P64" s="37"/>
      <c r="Q64" s="104">
        <v>17975.0</v>
      </c>
      <c r="R64" s="105">
        <v>19995.0</v>
      </c>
      <c r="S64" s="27"/>
      <c r="T64" s="27"/>
      <c r="U64" s="27">
        <f t="shared" si="3"/>
        <v>19772.5</v>
      </c>
    </row>
    <row r="65" ht="14.25" customHeight="1">
      <c r="A65" s="109">
        <v>22.0</v>
      </c>
      <c r="B65" s="110">
        <v>7861.0</v>
      </c>
      <c r="C65" s="110">
        <v>6401.0</v>
      </c>
      <c r="D65" s="111" t="s">
        <v>127</v>
      </c>
      <c r="E65" s="111"/>
      <c r="F65" s="73"/>
      <c r="G65" s="73"/>
      <c r="H65" s="73"/>
      <c r="I65" s="73"/>
      <c r="J65" s="73"/>
      <c r="K65" s="73"/>
      <c r="L65" s="73"/>
      <c r="M65" s="73"/>
      <c r="N65" s="73">
        <v>19975.0</v>
      </c>
      <c r="O65" s="73"/>
      <c r="P65" s="73"/>
      <c r="Q65" s="112">
        <v>13975.0</v>
      </c>
      <c r="R65" s="113">
        <v>19995.0</v>
      </c>
      <c r="S65" s="69"/>
      <c r="T65" s="69"/>
      <c r="U65" s="113">
        <v>13975.0</v>
      </c>
      <c r="V65" s="75"/>
      <c r="W65" s="75"/>
      <c r="X65" s="75"/>
      <c r="Y65" s="75"/>
    </row>
    <row r="66" ht="14.25" customHeight="1">
      <c r="A66" s="99">
        <v>23.0</v>
      </c>
      <c r="B66" s="100">
        <v>7928.0</v>
      </c>
      <c r="C66" s="100">
        <v>6444.0</v>
      </c>
      <c r="D66" s="107" t="s">
        <v>130</v>
      </c>
      <c r="E66" s="107"/>
      <c r="F66" s="37"/>
      <c r="G66" s="37"/>
      <c r="H66" s="37"/>
      <c r="I66" s="37"/>
      <c r="J66" s="37"/>
      <c r="K66" s="37"/>
      <c r="L66" s="37"/>
      <c r="M66" s="37"/>
      <c r="N66" s="37">
        <v>19975.0</v>
      </c>
      <c r="O66" s="37"/>
      <c r="P66" s="37"/>
      <c r="Q66" s="37">
        <v>13975.0</v>
      </c>
      <c r="R66" s="105">
        <v>19995.0</v>
      </c>
      <c r="S66" s="27"/>
      <c r="T66" s="27"/>
      <c r="U66" s="27">
        <f t="shared" ref="U66:U69" si="4">Q66*110%</f>
        <v>15372.5</v>
      </c>
    </row>
    <row r="67" ht="14.25" customHeight="1">
      <c r="A67" s="99">
        <v>24.0</v>
      </c>
      <c r="B67" s="43">
        <v>7291.0</v>
      </c>
      <c r="C67" s="114">
        <v>6013.0</v>
      </c>
      <c r="D67" s="30" t="s">
        <v>133</v>
      </c>
      <c r="E67" s="115" t="s">
        <v>37</v>
      </c>
      <c r="F67" s="37"/>
      <c r="G67" s="37"/>
      <c r="H67" s="37"/>
      <c r="I67" s="37"/>
      <c r="J67" s="37"/>
      <c r="K67" s="37"/>
      <c r="L67" s="37"/>
      <c r="M67" s="37"/>
      <c r="N67" s="37">
        <v>15550.0</v>
      </c>
      <c r="O67" s="37">
        <v>15550.0</v>
      </c>
      <c r="P67" s="37">
        <v>15550.0</v>
      </c>
      <c r="Q67" s="37">
        <v>12550.0</v>
      </c>
      <c r="R67" s="105">
        <v>19995.0</v>
      </c>
      <c r="S67" s="27"/>
      <c r="T67" s="27"/>
      <c r="U67" s="27">
        <f t="shared" si="4"/>
        <v>13805</v>
      </c>
    </row>
    <row r="68" ht="14.25" customHeight="1">
      <c r="A68" s="99">
        <v>25.0</v>
      </c>
      <c r="B68" s="29">
        <v>7617.0</v>
      </c>
      <c r="C68" s="29">
        <v>6236.0</v>
      </c>
      <c r="D68" s="30" t="s">
        <v>134</v>
      </c>
      <c r="E68" s="116" t="s">
        <v>135</v>
      </c>
      <c r="F68" s="37"/>
      <c r="G68" s="37"/>
      <c r="H68" s="37"/>
      <c r="I68" s="37"/>
      <c r="J68" s="37"/>
      <c r="K68" s="37"/>
      <c r="L68" s="37"/>
      <c r="M68" s="37"/>
      <c r="N68" s="37">
        <v>16575.0</v>
      </c>
      <c r="O68" s="37"/>
      <c r="P68" s="37"/>
      <c r="Q68" s="37">
        <v>14575.0</v>
      </c>
      <c r="R68" s="105">
        <v>19995.0</v>
      </c>
      <c r="S68" s="27"/>
      <c r="T68" s="27"/>
      <c r="U68" s="27">
        <f t="shared" si="4"/>
        <v>16032.5</v>
      </c>
    </row>
    <row r="69" ht="14.25" customHeight="1">
      <c r="A69" s="99">
        <v>26.0</v>
      </c>
      <c r="B69" s="29">
        <v>7715.0</v>
      </c>
      <c r="C69" s="29">
        <v>6354.0</v>
      </c>
      <c r="D69" s="30" t="s">
        <v>138</v>
      </c>
      <c r="E69" s="116"/>
      <c r="F69" s="37"/>
      <c r="G69" s="37"/>
      <c r="H69" s="37"/>
      <c r="I69" s="37"/>
      <c r="J69" s="37"/>
      <c r="K69" s="37"/>
      <c r="L69" s="37"/>
      <c r="M69" s="37"/>
      <c r="N69" s="37">
        <v>18575.0</v>
      </c>
      <c r="O69" s="37"/>
      <c r="P69" s="37"/>
      <c r="Q69" s="37">
        <v>16575.0</v>
      </c>
      <c r="R69" s="105">
        <v>19995.0</v>
      </c>
      <c r="S69" s="27"/>
      <c r="T69" s="27"/>
      <c r="U69" s="27">
        <f t="shared" si="4"/>
        <v>18232.5</v>
      </c>
    </row>
    <row r="70" ht="14.25" customHeight="1"/>
    <row r="71" ht="14.25" customHeight="1">
      <c r="A71" s="99">
        <v>28.0</v>
      </c>
    </row>
    <row r="72" ht="14.25" customHeight="1"/>
    <row r="73" ht="14.25" customHeight="1">
      <c r="A73" s="117"/>
      <c r="B73" s="118"/>
      <c r="C73" s="118"/>
      <c r="D73" s="119"/>
      <c r="E73" s="119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3"/>
      <c r="S73" s="3"/>
      <c r="T73" s="3"/>
      <c r="U73" s="3"/>
    </row>
    <row r="74" ht="14.25" customHeight="1">
      <c r="A74" s="117"/>
      <c r="B74" s="118"/>
      <c r="C74" s="118"/>
      <c r="D74" s="119"/>
      <c r="E74" s="119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3"/>
      <c r="S74" s="3"/>
      <c r="T74" s="3"/>
      <c r="U74" s="3"/>
    </row>
    <row r="75" ht="14.25" customHeight="1">
      <c r="A75" s="117"/>
      <c r="B75" s="118"/>
      <c r="C75" s="118"/>
      <c r="D75" s="119"/>
      <c r="E75" s="119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3"/>
      <c r="S75" s="3"/>
      <c r="T75" s="3"/>
      <c r="U75" s="3"/>
    </row>
    <row r="76" ht="14.25" customHeight="1">
      <c r="A76" s="117"/>
      <c r="B76" s="118"/>
      <c r="C76" s="118"/>
      <c r="D76" s="119"/>
      <c r="E76" s="119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3"/>
      <c r="S76" s="3"/>
      <c r="T76" s="3"/>
      <c r="U76" s="3"/>
    </row>
    <row r="77" ht="14.25" customHeight="1">
      <c r="A77" s="117"/>
      <c r="B77" s="118"/>
      <c r="C77" s="118"/>
      <c r="D77" s="119"/>
      <c r="E77" s="119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3"/>
      <c r="S77" s="3"/>
      <c r="T77" s="3"/>
      <c r="U77" s="3"/>
    </row>
    <row r="78" ht="14.25" customHeight="1">
      <c r="A78" s="117"/>
      <c r="B78" s="118"/>
      <c r="C78" s="118"/>
      <c r="D78" s="119"/>
      <c r="E78" s="119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3"/>
      <c r="S78" s="3"/>
      <c r="T78" s="3"/>
      <c r="U78" s="3"/>
    </row>
    <row r="79" ht="14.25" customHeight="1">
      <c r="A79" s="117"/>
      <c r="B79" s="118"/>
      <c r="C79" s="118"/>
      <c r="D79" s="119"/>
      <c r="E79" s="119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3"/>
      <c r="S79" s="3"/>
      <c r="T79" s="3"/>
      <c r="U79" s="3"/>
    </row>
    <row r="80" ht="14.25" customHeight="1">
      <c r="A80" s="117"/>
      <c r="B80" s="118"/>
      <c r="C80" s="118"/>
      <c r="D80" s="119"/>
      <c r="E80" s="119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3"/>
      <c r="S80" s="3"/>
      <c r="T80" s="3"/>
      <c r="U80" s="3"/>
    </row>
    <row r="81" ht="14.25" customHeight="1">
      <c r="A81" s="117"/>
      <c r="B81" s="118"/>
      <c r="C81" s="118"/>
      <c r="D81" s="119"/>
      <c r="E81" s="119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3"/>
      <c r="S81" s="3"/>
      <c r="T81" s="3"/>
      <c r="U81" s="3"/>
    </row>
    <row r="82" ht="14.25" customHeight="1">
      <c r="A82" s="117"/>
      <c r="B82" s="118"/>
      <c r="C82" s="118"/>
      <c r="D82" s="119"/>
      <c r="E82" s="119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3"/>
      <c r="S82" s="3"/>
      <c r="T82" s="3"/>
      <c r="U82" s="3"/>
    </row>
    <row r="83" ht="14.25" customHeight="1">
      <c r="A83" s="117"/>
      <c r="B83" s="118"/>
      <c r="C83" s="118"/>
      <c r="D83" s="119"/>
      <c r="E83" s="119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3"/>
      <c r="S83" s="3"/>
      <c r="T83" s="3"/>
      <c r="U83" s="3"/>
    </row>
    <row r="84" ht="14.25" customHeight="1">
      <c r="A84" s="117"/>
      <c r="B84" s="118"/>
      <c r="C84" s="118"/>
      <c r="D84" s="119"/>
      <c r="E84" s="119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3"/>
      <c r="S84" s="3"/>
      <c r="T84" s="3"/>
      <c r="U84" s="3"/>
    </row>
    <row r="85" ht="14.25" customHeight="1">
      <c r="A85" s="117"/>
      <c r="B85" s="118"/>
      <c r="C85" s="118"/>
      <c r="D85" s="119"/>
      <c r="E85" s="119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3"/>
      <c r="S85" s="3"/>
      <c r="T85" s="3"/>
      <c r="U85" s="3"/>
    </row>
    <row r="86" ht="14.25" customHeight="1">
      <c r="A86" s="117"/>
      <c r="B86" s="118"/>
      <c r="C86" s="118"/>
      <c r="D86" s="119"/>
      <c r="E86" s="119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3"/>
      <c r="S86" s="3"/>
      <c r="T86" s="3"/>
      <c r="U86" s="3"/>
    </row>
    <row r="87" ht="14.25" customHeight="1">
      <c r="A87" s="117"/>
      <c r="B87" s="118"/>
      <c r="C87" s="118"/>
      <c r="D87" s="119"/>
      <c r="E87" s="119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3"/>
      <c r="S87" s="3"/>
      <c r="T87" s="3"/>
      <c r="U87" s="3"/>
    </row>
    <row r="88" ht="14.25" customHeight="1">
      <c r="A88" s="117"/>
      <c r="B88" s="118"/>
      <c r="C88" s="118"/>
      <c r="D88" s="119"/>
      <c r="E88" s="119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3"/>
      <c r="S88" s="3"/>
      <c r="T88" s="3"/>
      <c r="U88" s="3"/>
    </row>
    <row r="89" ht="14.25" customHeight="1">
      <c r="A89" s="117"/>
      <c r="B89" s="118"/>
      <c r="C89" s="118"/>
      <c r="D89" s="119"/>
      <c r="E89" s="119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3"/>
      <c r="S89" s="3"/>
      <c r="T89" s="3"/>
      <c r="U89" s="3"/>
    </row>
    <row r="90" ht="14.25" customHeight="1">
      <c r="A90" s="117"/>
      <c r="B90" s="118"/>
      <c r="C90" s="118"/>
      <c r="D90" s="119"/>
      <c r="E90" s="119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3"/>
      <c r="S90" s="3"/>
      <c r="T90" s="3"/>
      <c r="U90" s="3"/>
    </row>
    <row r="91" ht="14.25" customHeight="1">
      <c r="A91" s="117"/>
      <c r="B91" s="118"/>
      <c r="C91" s="118"/>
      <c r="D91" s="119"/>
      <c r="E91" s="119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3"/>
      <c r="S91" s="3"/>
      <c r="T91" s="3"/>
      <c r="U91" s="3"/>
    </row>
    <row r="92" ht="14.25" customHeight="1">
      <c r="A92" s="3" t="s">
        <v>3</v>
      </c>
      <c r="B92" s="3"/>
      <c r="C92" s="3"/>
      <c r="D92" s="3"/>
      <c r="E92" s="119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3"/>
      <c r="S92" s="3"/>
      <c r="T92" s="3"/>
      <c r="U92" s="3"/>
    </row>
    <row r="93" ht="14.25" customHeight="1">
      <c r="A93" s="3" t="s">
        <v>4</v>
      </c>
      <c r="B93" s="3"/>
      <c r="C93" s="3"/>
      <c r="D93" s="3"/>
      <c r="E93" s="119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3"/>
      <c r="S93" s="3"/>
      <c r="T93" s="3"/>
      <c r="U93" s="3"/>
    </row>
    <row r="94" ht="14.25" customHeight="1">
      <c r="A94" s="2" t="s">
        <v>2</v>
      </c>
      <c r="V94" s="47"/>
      <c r="W94" s="3"/>
    </row>
    <row r="95" ht="14.25" customHeight="1">
      <c r="A95" s="8" t="s">
        <v>147</v>
      </c>
    </row>
    <row r="96" ht="14.25" customHeight="1">
      <c r="A96" s="12" t="s">
        <v>7</v>
      </c>
    </row>
    <row r="97" ht="23.25" customHeight="1">
      <c r="A97" s="121" t="s">
        <v>8</v>
      </c>
      <c r="B97" s="121" t="s">
        <v>9</v>
      </c>
      <c r="C97" s="122" t="s">
        <v>10</v>
      </c>
      <c r="D97" s="123" t="s">
        <v>11</v>
      </c>
      <c r="E97" s="124" t="s">
        <v>12</v>
      </c>
      <c r="F97" s="125" t="s">
        <v>13</v>
      </c>
      <c r="G97" s="93"/>
      <c r="H97" s="93"/>
      <c r="I97" s="94"/>
      <c r="J97" s="126" t="s">
        <v>15</v>
      </c>
      <c r="K97" s="93"/>
      <c r="L97" s="93"/>
      <c r="M97" s="96"/>
      <c r="N97" s="127" t="s">
        <v>17</v>
      </c>
      <c r="O97" s="93"/>
      <c r="P97" s="93"/>
      <c r="Q97" s="98"/>
      <c r="R97" s="52" t="s">
        <v>18</v>
      </c>
      <c r="S97" s="16"/>
      <c r="T97" s="16"/>
      <c r="U97" s="128"/>
    </row>
    <row r="98" ht="14.25" customHeight="1">
      <c r="A98" s="22"/>
      <c r="B98" s="22"/>
      <c r="C98" s="22"/>
      <c r="D98" s="22"/>
      <c r="E98" s="22"/>
      <c r="F98" s="25" t="s">
        <v>20</v>
      </c>
      <c r="G98" s="25" t="s">
        <v>21</v>
      </c>
      <c r="H98" s="25" t="s">
        <v>22</v>
      </c>
      <c r="I98" s="25" t="s">
        <v>23</v>
      </c>
      <c r="J98" s="25" t="s">
        <v>20</v>
      </c>
      <c r="K98" s="25" t="s">
        <v>21</v>
      </c>
      <c r="L98" s="25" t="s">
        <v>22</v>
      </c>
      <c r="M98" s="25" t="s">
        <v>23</v>
      </c>
      <c r="N98" s="25" t="s">
        <v>20</v>
      </c>
      <c r="O98" s="25" t="s">
        <v>21</v>
      </c>
      <c r="P98" s="25" t="s">
        <v>22</v>
      </c>
      <c r="Q98" s="25" t="s">
        <v>23</v>
      </c>
      <c r="R98" s="25" t="s">
        <v>20</v>
      </c>
      <c r="S98" s="25" t="s">
        <v>21</v>
      </c>
      <c r="T98" s="25" t="s">
        <v>22</v>
      </c>
      <c r="U98" s="25" t="s">
        <v>23</v>
      </c>
    </row>
    <row r="99" ht="14.25" customHeight="1">
      <c r="A99" s="129">
        <v>1.0</v>
      </c>
      <c r="B99" s="100">
        <v>7018.0</v>
      </c>
      <c r="C99" s="100">
        <v>5803.0</v>
      </c>
      <c r="D99" s="101" t="s">
        <v>148</v>
      </c>
      <c r="E99" s="102" t="s">
        <v>149</v>
      </c>
      <c r="F99" s="103">
        <v>15550.0</v>
      </c>
      <c r="G99" s="37">
        <v>15550.0</v>
      </c>
      <c r="H99" s="37">
        <v>15550.0</v>
      </c>
      <c r="I99" s="37">
        <v>15550.0</v>
      </c>
      <c r="J99" s="37"/>
      <c r="K99" s="37"/>
      <c r="L99" s="37"/>
      <c r="M99" s="37">
        <v>16575.0</v>
      </c>
      <c r="N99" s="130"/>
      <c r="O99" s="37"/>
      <c r="P99" s="37"/>
      <c r="Q99" s="104">
        <v>17975.0</v>
      </c>
      <c r="R99" s="131">
        <v>19995.0</v>
      </c>
      <c r="S99" s="37"/>
      <c r="T99" s="37"/>
      <c r="U99" s="37">
        <f t="shared" ref="U99:U109" si="5">Q99*110%</f>
        <v>19772.5</v>
      </c>
      <c r="V99" s="77"/>
    </row>
    <row r="100" ht="14.25" customHeight="1">
      <c r="A100" s="129">
        <v>2.0</v>
      </c>
      <c r="B100" s="100">
        <v>7226.0</v>
      </c>
      <c r="C100" s="100">
        <v>5956.0</v>
      </c>
      <c r="D100" s="101" t="s">
        <v>150</v>
      </c>
      <c r="E100" s="102" t="s">
        <v>151</v>
      </c>
      <c r="F100" s="103">
        <v>16575.0</v>
      </c>
      <c r="G100" s="37"/>
      <c r="H100" s="37" t="s">
        <v>152</v>
      </c>
      <c r="I100" s="103">
        <v>16575.0</v>
      </c>
      <c r="J100" s="37"/>
      <c r="K100" s="37"/>
      <c r="L100" s="37"/>
      <c r="M100" s="37">
        <v>16575.0</v>
      </c>
      <c r="N100" s="130"/>
      <c r="O100" s="37"/>
      <c r="P100" s="37"/>
      <c r="Q100" s="104">
        <v>17975.0</v>
      </c>
      <c r="R100" s="131">
        <v>19995.0</v>
      </c>
      <c r="S100" s="37"/>
      <c r="T100" s="37"/>
      <c r="U100" s="37">
        <f t="shared" si="5"/>
        <v>19772.5</v>
      </c>
      <c r="V100" s="77"/>
    </row>
    <row r="101" ht="14.25" customHeight="1">
      <c r="A101" s="129">
        <v>3.0</v>
      </c>
      <c r="B101" s="100">
        <v>7301.0</v>
      </c>
      <c r="C101" s="100">
        <v>6022.0</v>
      </c>
      <c r="D101" s="101" t="s">
        <v>153</v>
      </c>
      <c r="E101" s="102" t="s">
        <v>154</v>
      </c>
      <c r="F101" s="103">
        <v>16575.0</v>
      </c>
      <c r="G101" s="37"/>
      <c r="H101" s="37"/>
      <c r="I101" s="103">
        <v>12575.0</v>
      </c>
      <c r="J101" s="37"/>
      <c r="K101" s="37"/>
      <c r="L101" s="37"/>
      <c r="M101" s="37">
        <v>12575.0</v>
      </c>
      <c r="N101" s="130"/>
      <c r="O101" s="37"/>
      <c r="P101" s="37"/>
      <c r="Q101" s="104">
        <v>14975.0</v>
      </c>
      <c r="R101" s="131">
        <v>19995.0</v>
      </c>
      <c r="S101" s="37"/>
      <c r="T101" s="37"/>
      <c r="U101" s="37">
        <f t="shared" si="5"/>
        <v>16472.5</v>
      </c>
      <c r="V101" s="77"/>
    </row>
    <row r="102" ht="14.25" customHeight="1">
      <c r="A102" s="129">
        <v>4.0</v>
      </c>
      <c r="B102" s="100">
        <v>7406.0</v>
      </c>
      <c r="C102" s="100">
        <v>6117.0</v>
      </c>
      <c r="D102" s="101" t="s">
        <v>155</v>
      </c>
      <c r="E102" s="102" t="s">
        <v>156</v>
      </c>
      <c r="F102" s="103"/>
      <c r="G102" s="37"/>
      <c r="H102" s="37"/>
      <c r="I102" s="37"/>
      <c r="J102" s="37"/>
      <c r="K102" s="37"/>
      <c r="L102" s="37"/>
      <c r="M102" s="37"/>
      <c r="N102" s="130"/>
      <c r="O102" s="37"/>
      <c r="P102" s="37"/>
      <c r="Q102" s="104">
        <v>16975.0</v>
      </c>
      <c r="R102" s="131">
        <v>19995.0</v>
      </c>
      <c r="S102" s="37"/>
      <c r="T102" s="37"/>
      <c r="U102" s="37">
        <f t="shared" si="5"/>
        <v>18672.5</v>
      </c>
      <c r="V102" s="77"/>
    </row>
    <row r="103" ht="14.25" customHeight="1">
      <c r="A103" s="129">
        <v>5.0</v>
      </c>
      <c r="B103" s="100">
        <v>7428.0</v>
      </c>
      <c r="C103" s="100">
        <v>6134.0</v>
      </c>
      <c r="D103" s="101" t="s">
        <v>157</v>
      </c>
      <c r="E103" s="102" t="s">
        <v>158</v>
      </c>
      <c r="F103" s="103"/>
      <c r="G103" s="37"/>
      <c r="H103" s="37"/>
      <c r="I103" s="103"/>
      <c r="J103" s="37">
        <v>16575.0</v>
      </c>
      <c r="K103" s="37"/>
      <c r="L103" s="37"/>
      <c r="M103" s="37">
        <v>16575.0</v>
      </c>
      <c r="N103" s="130"/>
      <c r="O103" s="37"/>
      <c r="P103" s="37"/>
      <c r="Q103" s="104">
        <v>17975.0</v>
      </c>
      <c r="R103" s="131">
        <v>19995.0</v>
      </c>
      <c r="S103" s="37"/>
      <c r="T103" s="37"/>
      <c r="U103" s="37">
        <f t="shared" si="5"/>
        <v>19772.5</v>
      </c>
      <c r="V103" s="77"/>
    </row>
    <row r="104" ht="14.25" customHeight="1">
      <c r="A104" s="129">
        <v>6.0</v>
      </c>
      <c r="B104" s="132">
        <v>7083.0</v>
      </c>
      <c r="C104" s="132">
        <v>5855.0</v>
      </c>
      <c r="D104" s="133" t="s">
        <v>159</v>
      </c>
      <c r="E104" s="134" t="s">
        <v>160</v>
      </c>
      <c r="F104" s="135">
        <v>12550.0</v>
      </c>
      <c r="G104" s="136">
        <v>12550.0</v>
      </c>
      <c r="H104" s="136">
        <v>12550.0</v>
      </c>
      <c r="I104" s="136">
        <v>12550.0</v>
      </c>
      <c r="J104" s="37"/>
      <c r="K104" s="37"/>
      <c r="L104" s="37"/>
      <c r="M104" s="37">
        <v>16775.0</v>
      </c>
      <c r="N104" s="137"/>
      <c r="O104" s="136"/>
      <c r="P104" s="136"/>
      <c r="Q104" s="138">
        <v>17975.0</v>
      </c>
      <c r="R104" s="131">
        <v>19995.0</v>
      </c>
      <c r="S104" s="37"/>
      <c r="T104" s="37"/>
      <c r="U104" s="37">
        <f t="shared" si="5"/>
        <v>19772.5</v>
      </c>
      <c r="V104" s="77"/>
    </row>
    <row r="105" ht="14.25" customHeight="1">
      <c r="A105" s="129">
        <v>7.0</v>
      </c>
      <c r="B105" s="100">
        <v>7235.0</v>
      </c>
      <c r="C105" s="100">
        <v>5965.0</v>
      </c>
      <c r="D105" s="101" t="s">
        <v>164</v>
      </c>
      <c r="E105" s="102" t="s">
        <v>165</v>
      </c>
      <c r="F105" s="103"/>
      <c r="G105" s="37"/>
      <c r="H105" s="37"/>
      <c r="I105" s="103"/>
      <c r="J105" s="37"/>
      <c r="K105" s="37"/>
      <c r="L105" s="37"/>
      <c r="M105" s="37">
        <v>16575.0</v>
      </c>
      <c r="N105" s="130"/>
      <c r="O105" s="37"/>
      <c r="P105" s="37"/>
      <c r="Q105" s="104">
        <v>17975.0</v>
      </c>
      <c r="R105" s="131">
        <v>19995.0</v>
      </c>
      <c r="S105" s="37"/>
      <c r="T105" s="37"/>
      <c r="U105" s="37">
        <f t="shared" si="5"/>
        <v>19772.5</v>
      </c>
      <c r="V105" s="77"/>
    </row>
    <row r="106" ht="14.25" customHeight="1">
      <c r="A106" s="129">
        <v>8.0</v>
      </c>
      <c r="B106" s="100">
        <v>7165.0</v>
      </c>
      <c r="C106" s="100">
        <v>5913.0</v>
      </c>
      <c r="D106" s="101" t="s">
        <v>166</v>
      </c>
      <c r="E106" s="102" t="s">
        <v>167</v>
      </c>
      <c r="F106" s="103">
        <v>15550.0</v>
      </c>
      <c r="G106" s="37">
        <v>15550.0</v>
      </c>
      <c r="H106" s="37">
        <v>15550.0</v>
      </c>
      <c r="I106" s="37">
        <v>12550.0</v>
      </c>
      <c r="J106" s="37"/>
      <c r="K106" s="37"/>
      <c r="L106" s="37"/>
      <c r="M106" s="37">
        <v>14975.0</v>
      </c>
      <c r="N106" s="130"/>
      <c r="O106" s="37"/>
      <c r="P106" s="37"/>
      <c r="Q106" s="104">
        <v>16975.0</v>
      </c>
      <c r="R106" s="131">
        <v>19995.0</v>
      </c>
      <c r="S106" s="37"/>
      <c r="T106" s="37"/>
      <c r="U106" s="37">
        <f t="shared" si="5"/>
        <v>18672.5</v>
      </c>
      <c r="V106" s="77"/>
    </row>
    <row r="107" ht="14.25" customHeight="1">
      <c r="A107" s="129">
        <v>9.0</v>
      </c>
      <c r="B107" s="100">
        <v>7251.0</v>
      </c>
      <c r="C107" s="100">
        <v>5977.0</v>
      </c>
      <c r="D107" s="101" t="s">
        <v>169</v>
      </c>
      <c r="E107" s="102" t="s">
        <v>170</v>
      </c>
      <c r="F107" s="103"/>
      <c r="G107" s="37"/>
      <c r="H107" s="37"/>
      <c r="I107" s="103"/>
      <c r="J107" s="37"/>
      <c r="K107" s="37"/>
      <c r="L107" s="37"/>
      <c r="M107" s="37">
        <v>12575.0</v>
      </c>
      <c r="N107" s="130"/>
      <c r="O107" s="37"/>
      <c r="P107" s="37"/>
      <c r="Q107" s="104">
        <v>14975.0</v>
      </c>
      <c r="R107" s="131">
        <v>19995.0</v>
      </c>
      <c r="S107" s="37"/>
      <c r="T107" s="37"/>
      <c r="U107" s="37">
        <f t="shared" si="5"/>
        <v>16472.5</v>
      </c>
      <c r="V107" s="77"/>
    </row>
    <row r="108" ht="14.25" customHeight="1">
      <c r="A108" s="129">
        <v>10.0</v>
      </c>
      <c r="B108" s="100">
        <v>7390.0</v>
      </c>
      <c r="C108" s="100">
        <v>6103.0</v>
      </c>
      <c r="D108" s="101" t="s">
        <v>171</v>
      </c>
      <c r="E108" s="102" t="s">
        <v>172</v>
      </c>
      <c r="F108" s="103"/>
      <c r="G108" s="37"/>
      <c r="H108" s="37"/>
      <c r="I108" s="103"/>
      <c r="J108" s="37">
        <v>16575.0</v>
      </c>
      <c r="K108" s="37"/>
      <c r="L108" s="37"/>
      <c r="M108" s="37">
        <v>12575.0</v>
      </c>
      <c r="N108" s="130"/>
      <c r="O108" s="37"/>
      <c r="P108" s="37"/>
      <c r="Q108" s="104">
        <v>14975.0</v>
      </c>
      <c r="R108" s="131">
        <v>19995.0</v>
      </c>
      <c r="S108" s="37"/>
      <c r="T108" s="37"/>
      <c r="U108" s="37">
        <f t="shared" si="5"/>
        <v>16472.5</v>
      </c>
      <c r="V108" s="77"/>
    </row>
    <row r="109" ht="14.25" customHeight="1">
      <c r="A109" s="129">
        <v>11.0</v>
      </c>
      <c r="B109" s="100">
        <v>7421.0</v>
      </c>
      <c r="C109" s="100">
        <v>6127.0</v>
      </c>
      <c r="D109" s="101" t="s">
        <v>174</v>
      </c>
      <c r="E109" s="54" t="s">
        <v>176</v>
      </c>
      <c r="F109" s="37"/>
      <c r="G109" s="37"/>
      <c r="H109" s="37"/>
      <c r="I109" s="37"/>
      <c r="J109" s="130">
        <v>16575.0</v>
      </c>
      <c r="K109" s="103">
        <v>16575.0</v>
      </c>
      <c r="L109" s="103">
        <v>16575.0</v>
      </c>
      <c r="M109" s="37">
        <v>14575.0</v>
      </c>
      <c r="N109" s="130"/>
      <c r="O109" s="37"/>
      <c r="P109" s="37"/>
      <c r="Q109" s="104">
        <v>17975.0</v>
      </c>
      <c r="R109" s="131">
        <v>19995.0</v>
      </c>
      <c r="S109" s="37"/>
      <c r="T109" s="37"/>
      <c r="U109" s="37">
        <f t="shared" si="5"/>
        <v>19772.5</v>
      </c>
      <c r="V109" s="77"/>
    </row>
    <row r="110" ht="14.25" customHeight="1">
      <c r="A110" s="129">
        <v>12.0</v>
      </c>
      <c r="B110" s="100">
        <v>7177.0</v>
      </c>
      <c r="C110" s="100">
        <v>5923.0</v>
      </c>
      <c r="D110" s="101" t="s">
        <v>177</v>
      </c>
      <c r="E110" s="102" t="s">
        <v>178</v>
      </c>
      <c r="F110" s="103" t="s">
        <v>56</v>
      </c>
      <c r="G110" s="103" t="s">
        <v>56</v>
      </c>
      <c r="H110" s="103" t="s">
        <v>56</v>
      </c>
      <c r="I110" s="103" t="s">
        <v>56</v>
      </c>
      <c r="J110" s="103" t="s">
        <v>56</v>
      </c>
      <c r="K110" s="103" t="s">
        <v>56</v>
      </c>
      <c r="L110" s="103" t="s">
        <v>56</v>
      </c>
      <c r="M110" s="103" t="s">
        <v>56</v>
      </c>
      <c r="N110" s="130"/>
      <c r="O110" s="37"/>
      <c r="P110" s="37"/>
      <c r="Q110" s="104">
        <v>5975.0</v>
      </c>
      <c r="R110" s="131">
        <v>27890.0</v>
      </c>
      <c r="S110" s="131">
        <v>27890.0</v>
      </c>
      <c r="T110" s="131">
        <v>27890.0</v>
      </c>
      <c r="U110" s="37"/>
      <c r="V110" s="77"/>
    </row>
    <row r="111" ht="14.25" customHeight="1">
      <c r="A111" s="129">
        <v>13.0</v>
      </c>
      <c r="B111" s="100">
        <v>7268.0</v>
      </c>
      <c r="C111" s="100">
        <v>5991.0</v>
      </c>
      <c r="D111" s="101" t="s">
        <v>181</v>
      </c>
      <c r="E111" s="102" t="s">
        <v>182</v>
      </c>
      <c r="F111" s="37"/>
      <c r="G111" s="37"/>
      <c r="H111" s="37"/>
      <c r="I111" s="37"/>
      <c r="J111" s="103">
        <v>16575.0</v>
      </c>
      <c r="K111" s="37"/>
      <c r="L111" s="37"/>
      <c r="M111" s="37">
        <v>7500.0</v>
      </c>
      <c r="N111" s="130"/>
      <c r="O111" s="37"/>
      <c r="P111" s="37"/>
      <c r="Q111" s="104">
        <v>10975.0</v>
      </c>
      <c r="R111" s="131">
        <v>19995.0</v>
      </c>
      <c r="S111" s="37"/>
      <c r="T111" s="37"/>
      <c r="U111" s="37">
        <f>Q111*110%</f>
        <v>12072.5</v>
      </c>
      <c r="V111" s="77"/>
    </row>
    <row r="112" ht="14.25" customHeight="1">
      <c r="A112" s="129"/>
      <c r="B112" s="100"/>
      <c r="C112" s="100"/>
      <c r="D112" s="101"/>
      <c r="E112" s="102"/>
      <c r="F112" s="37"/>
      <c r="G112" s="37"/>
      <c r="H112" s="37"/>
      <c r="I112" s="37"/>
      <c r="J112" s="130"/>
      <c r="K112" s="37"/>
      <c r="L112" s="37"/>
      <c r="M112" s="130"/>
      <c r="N112" s="130"/>
      <c r="O112" s="37"/>
      <c r="P112" s="37"/>
      <c r="Q112" s="104"/>
      <c r="R112" s="37"/>
      <c r="S112" s="37"/>
      <c r="T112" s="37"/>
      <c r="U112" s="37"/>
      <c r="V112" s="77"/>
    </row>
    <row r="113" ht="14.25" customHeight="1">
      <c r="A113" s="121" t="s">
        <v>8</v>
      </c>
      <c r="B113" s="121" t="s">
        <v>9</v>
      </c>
      <c r="C113" s="122" t="s">
        <v>10</v>
      </c>
      <c r="D113" s="123" t="s">
        <v>11</v>
      </c>
      <c r="E113" s="124" t="s">
        <v>12</v>
      </c>
      <c r="F113" s="125" t="s">
        <v>13</v>
      </c>
      <c r="G113" s="93"/>
      <c r="H113" s="93"/>
      <c r="I113" s="94"/>
      <c r="J113" s="126" t="s">
        <v>15</v>
      </c>
      <c r="K113" s="93"/>
      <c r="L113" s="93"/>
      <c r="M113" s="96"/>
      <c r="N113" s="127" t="s">
        <v>17</v>
      </c>
      <c r="O113" s="93"/>
      <c r="P113" s="93"/>
      <c r="Q113" s="98"/>
      <c r="R113" s="52" t="s">
        <v>18</v>
      </c>
      <c r="S113" s="16"/>
      <c r="T113" s="16"/>
      <c r="U113" s="128"/>
      <c r="V113" s="77"/>
    </row>
    <row r="114" ht="14.25" customHeight="1">
      <c r="A114" s="22"/>
      <c r="B114" s="22"/>
      <c r="C114" s="22"/>
      <c r="D114" s="22"/>
      <c r="E114" s="22"/>
      <c r="F114" s="25" t="s">
        <v>20</v>
      </c>
      <c r="G114" s="25" t="s">
        <v>21</v>
      </c>
      <c r="H114" s="25" t="s">
        <v>22</v>
      </c>
      <c r="I114" s="25" t="s">
        <v>23</v>
      </c>
      <c r="J114" s="25" t="s">
        <v>20</v>
      </c>
      <c r="K114" s="25" t="s">
        <v>21</v>
      </c>
      <c r="L114" s="25" t="s">
        <v>22</v>
      </c>
      <c r="M114" s="25" t="s">
        <v>23</v>
      </c>
      <c r="N114" s="25" t="s">
        <v>20</v>
      </c>
      <c r="O114" s="25" t="s">
        <v>21</v>
      </c>
      <c r="P114" s="25" t="s">
        <v>22</v>
      </c>
      <c r="Q114" s="25" t="s">
        <v>23</v>
      </c>
      <c r="R114" s="25" t="s">
        <v>20</v>
      </c>
      <c r="S114" s="25" t="s">
        <v>21</v>
      </c>
      <c r="T114" s="25" t="s">
        <v>22</v>
      </c>
      <c r="U114" s="25" t="s">
        <v>23</v>
      </c>
      <c r="V114" s="77"/>
    </row>
    <row r="115" ht="14.25" customHeight="1">
      <c r="A115" s="129">
        <v>14.0</v>
      </c>
      <c r="B115" s="100">
        <v>7323.0</v>
      </c>
      <c r="C115" s="100">
        <v>6044.0</v>
      </c>
      <c r="D115" s="101" t="s">
        <v>183</v>
      </c>
      <c r="E115" s="102" t="s">
        <v>184</v>
      </c>
      <c r="F115" s="37"/>
      <c r="G115" s="37"/>
      <c r="H115" s="37"/>
      <c r="I115" s="37"/>
      <c r="J115" s="130">
        <v>16575.0</v>
      </c>
      <c r="K115" s="37"/>
      <c r="L115" s="37"/>
      <c r="M115" s="103">
        <v>12575.0</v>
      </c>
      <c r="N115" s="130"/>
      <c r="O115" s="37"/>
      <c r="P115" s="37"/>
      <c r="Q115" s="104">
        <v>15975.0</v>
      </c>
      <c r="R115" s="131">
        <v>19995.0</v>
      </c>
      <c r="S115" s="37"/>
      <c r="T115" s="37"/>
      <c r="U115" s="37">
        <f t="shared" ref="U115:U118" si="6">Q115*110%</f>
        <v>17572.5</v>
      </c>
      <c r="V115" s="77"/>
    </row>
    <row r="116" ht="14.25" customHeight="1">
      <c r="A116" s="129">
        <v>15.0</v>
      </c>
      <c r="B116" s="100">
        <v>7342.0</v>
      </c>
      <c r="C116" s="100">
        <v>6059.0</v>
      </c>
      <c r="D116" s="101" t="s">
        <v>185</v>
      </c>
      <c r="E116" s="102" t="s">
        <v>186</v>
      </c>
      <c r="F116" s="103"/>
      <c r="G116" s="37"/>
      <c r="H116" s="37"/>
      <c r="I116" s="103"/>
      <c r="J116" s="130">
        <v>16575.0</v>
      </c>
      <c r="K116" s="37"/>
      <c r="L116" s="37"/>
      <c r="M116" s="103">
        <v>14575.0</v>
      </c>
      <c r="N116" s="130" t="s">
        <v>187</v>
      </c>
      <c r="O116" s="37"/>
      <c r="P116" s="37"/>
      <c r="Q116" s="104">
        <v>6092.0</v>
      </c>
      <c r="R116" s="131">
        <v>19995.0</v>
      </c>
      <c r="S116" s="37"/>
      <c r="T116" s="37"/>
      <c r="U116" s="37">
        <f t="shared" si="6"/>
        <v>6701.2</v>
      </c>
      <c r="V116" s="77"/>
    </row>
    <row r="117" ht="14.25" customHeight="1">
      <c r="A117" s="129">
        <v>16.0</v>
      </c>
      <c r="B117" s="100">
        <v>7522.0</v>
      </c>
      <c r="C117" s="100">
        <v>6174.0</v>
      </c>
      <c r="D117" s="140" t="s">
        <v>188</v>
      </c>
      <c r="E117" s="141" t="s">
        <v>189</v>
      </c>
      <c r="F117" s="103"/>
      <c r="G117" s="103"/>
      <c r="H117" s="103"/>
      <c r="I117" s="103"/>
      <c r="J117" s="103">
        <v>16575.0</v>
      </c>
      <c r="K117" s="37"/>
      <c r="L117" s="37"/>
      <c r="M117" s="37">
        <v>14575.0</v>
      </c>
      <c r="N117" s="130"/>
      <c r="O117" s="37"/>
      <c r="P117" s="37"/>
      <c r="Q117" s="104">
        <v>16975.0</v>
      </c>
      <c r="R117" s="131">
        <v>19995.0</v>
      </c>
      <c r="S117" s="37"/>
      <c r="T117" s="37"/>
      <c r="U117" s="37">
        <f t="shared" si="6"/>
        <v>18672.5</v>
      </c>
      <c r="V117" s="77"/>
    </row>
    <row r="118" ht="14.25" customHeight="1">
      <c r="A118" s="129">
        <v>17.0</v>
      </c>
      <c r="B118" s="100">
        <v>7458.0</v>
      </c>
      <c r="C118" s="100">
        <v>6156.0</v>
      </c>
      <c r="D118" s="101" t="s">
        <v>190</v>
      </c>
      <c r="E118" s="102" t="s">
        <v>191</v>
      </c>
      <c r="F118" s="37"/>
      <c r="G118" s="37"/>
      <c r="H118" s="37"/>
      <c r="I118" s="37"/>
      <c r="J118" s="130">
        <v>16575.0</v>
      </c>
      <c r="K118" s="37"/>
      <c r="L118" s="37"/>
      <c r="M118" s="103">
        <v>12575.0</v>
      </c>
      <c r="N118" s="130"/>
      <c r="O118" s="37"/>
      <c r="P118" s="37"/>
      <c r="Q118" s="104">
        <v>15975.0</v>
      </c>
      <c r="R118" s="131">
        <v>19995.0</v>
      </c>
      <c r="S118" s="37"/>
      <c r="T118" s="37"/>
      <c r="U118" s="37">
        <f t="shared" si="6"/>
        <v>17572.5</v>
      </c>
      <c r="V118" s="77"/>
    </row>
    <row r="119" ht="14.25" customHeight="1">
      <c r="A119" s="129">
        <v>18.0</v>
      </c>
      <c r="B119" s="100">
        <v>7094.0</v>
      </c>
      <c r="C119" s="100">
        <v>5859.0</v>
      </c>
      <c r="D119" s="101" t="s">
        <v>192</v>
      </c>
      <c r="E119" s="102" t="s">
        <v>193</v>
      </c>
      <c r="F119" s="103" t="s">
        <v>56</v>
      </c>
      <c r="G119" s="103" t="s">
        <v>56</v>
      </c>
      <c r="H119" s="103" t="s">
        <v>56</v>
      </c>
      <c r="I119" s="103" t="s">
        <v>56</v>
      </c>
      <c r="J119" s="103" t="s">
        <v>56</v>
      </c>
      <c r="K119" s="103" t="s">
        <v>56</v>
      </c>
      <c r="L119" s="103" t="s">
        <v>56</v>
      </c>
      <c r="M119" s="103" t="s">
        <v>56</v>
      </c>
      <c r="N119" s="130"/>
      <c r="O119" s="37"/>
      <c r="P119" s="37"/>
      <c r="Q119" s="142" t="s">
        <v>56</v>
      </c>
      <c r="R119" s="37"/>
      <c r="S119" s="37"/>
      <c r="T119" s="37"/>
      <c r="U119" s="131" t="s">
        <v>194</v>
      </c>
      <c r="V119" s="77"/>
    </row>
    <row r="120" ht="14.25" customHeight="1">
      <c r="A120" s="129">
        <v>19.0</v>
      </c>
      <c r="B120" s="29">
        <v>7022.0</v>
      </c>
      <c r="C120" s="29">
        <v>5807.0</v>
      </c>
      <c r="D120" s="108" t="s">
        <v>195</v>
      </c>
      <c r="E120" s="143"/>
      <c r="F120" s="144">
        <v>12550.0</v>
      </c>
      <c r="G120" s="144">
        <v>12550.0</v>
      </c>
      <c r="H120" s="144">
        <v>12550.0</v>
      </c>
      <c r="I120" s="144">
        <v>10550.0</v>
      </c>
      <c r="J120" s="144"/>
      <c r="K120" s="144"/>
      <c r="L120" s="144"/>
      <c r="M120" s="144">
        <v>14675.0</v>
      </c>
      <c r="N120" s="144"/>
      <c r="O120" s="144"/>
      <c r="P120" s="144"/>
      <c r="Q120" s="146">
        <v>15975.0</v>
      </c>
      <c r="R120" s="131">
        <v>19995.0</v>
      </c>
      <c r="S120" s="37"/>
      <c r="T120" s="37"/>
      <c r="U120" s="37">
        <f t="shared" ref="U120:U125" si="7">Q120*110%</f>
        <v>17572.5</v>
      </c>
      <c r="V120" s="77"/>
    </row>
    <row r="121" ht="14.25" customHeight="1">
      <c r="A121" s="129">
        <v>20.0</v>
      </c>
      <c r="B121" s="29">
        <v>7226.0</v>
      </c>
      <c r="C121" s="29">
        <v>5956.0</v>
      </c>
      <c r="D121" s="30" t="s">
        <v>150</v>
      </c>
      <c r="E121" s="31" t="s">
        <v>151</v>
      </c>
      <c r="F121" s="77"/>
      <c r="G121" s="77"/>
      <c r="H121" s="77"/>
      <c r="I121" s="77"/>
      <c r="J121" s="144">
        <v>16575.0</v>
      </c>
      <c r="K121" s="144"/>
      <c r="L121" s="144"/>
      <c r="M121" s="144">
        <v>16575.0</v>
      </c>
      <c r="N121" s="144"/>
      <c r="O121" s="144"/>
      <c r="P121" s="144"/>
      <c r="Q121" s="146">
        <v>17975.0</v>
      </c>
      <c r="R121" s="131">
        <v>19995.0</v>
      </c>
      <c r="S121" s="37"/>
      <c r="T121" s="37"/>
      <c r="U121" s="37">
        <f t="shared" si="7"/>
        <v>19772.5</v>
      </c>
      <c r="V121" s="77"/>
    </row>
    <row r="122" ht="14.25" customHeight="1">
      <c r="A122" s="129">
        <v>21.0</v>
      </c>
      <c r="B122" s="29">
        <v>7235.0</v>
      </c>
      <c r="C122" s="29">
        <v>5965.0</v>
      </c>
      <c r="D122" s="76" t="s">
        <v>164</v>
      </c>
      <c r="E122" s="76" t="s">
        <v>165</v>
      </c>
      <c r="F122" s="144"/>
      <c r="G122" s="144"/>
      <c r="H122" s="144"/>
      <c r="I122" s="144"/>
      <c r="J122" s="144">
        <v>16575.0</v>
      </c>
      <c r="K122" s="144"/>
      <c r="L122" s="144"/>
      <c r="M122" s="144">
        <v>16575.0</v>
      </c>
      <c r="N122" s="144"/>
      <c r="O122" s="144"/>
      <c r="P122" s="144"/>
      <c r="Q122" s="146">
        <v>17975.0</v>
      </c>
      <c r="R122" s="131">
        <v>19995.0</v>
      </c>
      <c r="S122" s="37"/>
      <c r="T122" s="37"/>
      <c r="U122" s="37">
        <f t="shared" si="7"/>
        <v>19772.5</v>
      </c>
      <c r="V122" s="77"/>
    </row>
    <row r="123" ht="14.25" customHeight="1">
      <c r="A123" s="129">
        <v>22.0</v>
      </c>
      <c r="B123" s="29">
        <v>7323.0</v>
      </c>
      <c r="C123" s="29">
        <v>6044.0</v>
      </c>
      <c r="D123" s="30" t="s">
        <v>183</v>
      </c>
      <c r="E123" s="76" t="s">
        <v>184</v>
      </c>
      <c r="F123" s="144"/>
      <c r="G123" s="144"/>
      <c r="H123" s="144"/>
      <c r="I123" s="144"/>
      <c r="J123" s="144">
        <v>16575.0</v>
      </c>
      <c r="K123" s="144"/>
      <c r="L123" s="144"/>
      <c r="M123" s="144">
        <v>12575.0</v>
      </c>
      <c r="N123" s="144"/>
      <c r="O123" s="144"/>
      <c r="P123" s="144"/>
      <c r="Q123" s="146">
        <v>16975.0</v>
      </c>
      <c r="R123" s="131">
        <v>19995.0</v>
      </c>
      <c r="S123" s="37"/>
      <c r="T123" s="37"/>
      <c r="U123" s="37">
        <f t="shared" si="7"/>
        <v>18672.5</v>
      </c>
      <c r="V123" s="77"/>
    </row>
    <row r="124" ht="14.25" customHeight="1">
      <c r="A124" s="129">
        <v>23.0</v>
      </c>
      <c r="B124" s="29">
        <v>7443.0</v>
      </c>
      <c r="C124" s="29">
        <v>6143.0</v>
      </c>
      <c r="D124" s="148" t="s">
        <v>205</v>
      </c>
      <c r="E124" s="76" t="s">
        <v>206</v>
      </c>
      <c r="F124" s="144"/>
      <c r="G124" s="144"/>
      <c r="H124" s="144"/>
      <c r="I124" s="144"/>
      <c r="J124" s="144">
        <v>16575.0</v>
      </c>
      <c r="K124" s="144"/>
      <c r="L124" s="144"/>
      <c r="M124" s="144">
        <v>14575.0</v>
      </c>
      <c r="N124" s="144"/>
      <c r="O124" s="144"/>
      <c r="P124" s="144"/>
      <c r="Q124" s="146">
        <v>16575.0</v>
      </c>
      <c r="R124" s="131">
        <v>19995.0</v>
      </c>
      <c r="S124" s="37"/>
      <c r="T124" s="37"/>
      <c r="U124" s="37">
        <f t="shared" si="7"/>
        <v>18232.5</v>
      </c>
      <c r="V124" s="77"/>
    </row>
    <row r="125" ht="14.25" customHeight="1">
      <c r="A125" s="129">
        <v>24.0</v>
      </c>
      <c r="B125" s="29">
        <v>7759.0</v>
      </c>
      <c r="C125" s="29">
        <v>6335.0</v>
      </c>
      <c r="D125" s="108" t="s">
        <v>210</v>
      </c>
      <c r="E125" s="76" t="s">
        <v>211</v>
      </c>
      <c r="F125" s="144"/>
      <c r="G125" s="144"/>
      <c r="H125" s="144"/>
      <c r="I125" s="144"/>
      <c r="J125" s="144"/>
      <c r="K125" s="144"/>
      <c r="L125" s="144"/>
      <c r="M125" s="144"/>
      <c r="N125" s="144">
        <v>16575.0</v>
      </c>
      <c r="O125" s="144">
        <v>16575.0</v>
      </c>
      <c r="P125" s="144"/>
      <c r="Q125" s="146">
        <v>12575.0</v>
      </c>
      <c r="R125" s="131">
        <v>19995.0</v>
      </c>
      <c r="S125" s="37"/>
      <c r="T125" s="37"/>
      <c r="U125" s="37">
        <f t="shared" si="7"/>
        <v>13832.5</v>
      </c>
      <c r="V125" s="77"/>
    </row>
    <row r="126" ht="14.25" customHeight="1">
      <c r="A126" s="149">
        <v>25.0</v>
      </c>
      <c r="B126" s="70">
        <v>7874.0</v>
      </c>
      <c r="C126" s="70">
        <v>6407.0</v>
      </c>
      <c r="D126" s="71" t="s">
        <v>212</v>
      </c>
      <c r="E126" s="72" t="s">
        <v>213</v>
      </c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150"/>
      <c r="R126" s="151">
        <v>19995.0</v>
      </c>
      <c r="S126" s="73"/>
      <c r="T126" s="73"/>
      <c r="U126" s="73">
        <v>19975.0</v>
      </c>
      <c r="V126" s="152"/>
      <c r="W126" s="75"/>
      <c r="X126" s="75"/>
      <c r="Y126" s="75"/>
    </row>
    <row r="127" ht="14.25" customHeight="1">
      <c r="A127" s="129">
        <v>26.0</v>
      </c>
      <c r="B127" s="29">
        <v>7548.0</v>
      </c>
      <c r="C127" s="29">
        <v>6188.0</v>
      </c>
      <c r="D127" s="30" t="s">
        <v>217</v>
      </c>
      <c r="E127" s="76" t="s">
        <v>218</v>
      </c>
      <c r="F127" s="144"/>
      <c r="G127" s="144"/>
      <c r="H127" s="144"/>
      <c r="I127" s="144"/>
      <c r="J127" s="144"/>
      <c r="K127" s="144"/>
      <c r="L127" s="144"/>
      <c r="M127" s="144"/>
      <c r="N127" s="144">
        <v>16575.0</v>
      </c>
      <c r="O127" s="144"/>
      <c r="P127" s="144"/>
      <c r="Q127" s="146">
        <v>16575.0</v>
      </c>
      <c r="R127" s="131">
        <v>19995.0</v>
      </c>
      <c r="S127" s="37"/>
      <c r="T127" s="37"/>
      <c r="U127" s="37">
        <f t="shared" ref="U127:U129" si="8">Q127*110%</f>
        <v>18232.5</v>
      </c>
      <c r="V127" s="77"/>
    </row>
    <row r="128" ht="14.25" customHeight="1">
      <c r="A128" s="129">
        <v>27.0</v>
      </c>
      <c r="B128" s="154">
        <v>7597.0</v>
      </c>
      <c r="C128" s="154">
        <v>6223.0</v>
      </c>
      <c r="D128" s="108" t="s">
        <v>220</v>
      </c>
      <c r="E128" s="155" t="s">
        <v>221</v>
      </c>
      <c r="F128" s="144"/>
      <c r="G128" s="144"/>
      <c r="H128" s="144"/>
      <c r="I128" s="144"/>
      <c r="J128" s="144"/>
      <c r="K128" s="144"/>
      <c r="L128" s="144"/>
      <c r="M128" s="144"/>
      <c r="N128" s="144">
        <v>16575.0</v>
      </c>
      <c r="O128" s="144"/>
      <c r="P128" s="144"/>
      <c r="Q128" s="146">
        <v>12575.0</v>
      </c>
      <c r="R128" s="131">
        <v>19995.0</v>
      </c>
      <c r="S128" s="37"/>
      <c r="T128" s="37"/>
      <c r="U128" s="37">
        <f t="shared" si="8"/>
        <v>13832.5</v>
      </c>
      <c r="V128" s="77"/>
    </row>
    <row r="129" ht="14.25" customHeight="1">
      <c r="A129" s="149">
        <v>28.0</v>
      </c>
      <c r="B129" s="70">
        <v>7862.0</v>
      </c>
      <c r="C129" s="70">
        <v>6402.0</v>
      </c>
      <c r="D129" s="157" t="s">
        <v>222</v>
      </c>
      <c r="E129" s="157" t="s">
        <v>223</v>
      </c>
      <c r="F129" s="73"/>
      <c r="G129" s="73"/>
      <c r="H129" s="73"/>
      <c r="I129" s="73"/>
      <c r="J129" s="73"/>
      <c r="K129" s="73"/>
      <c r="L129" s="73"/>
      <c r="M129" s="73"/>
      <c r="N129" s="73">
        <v>19975.0</v>
      </c>
      <c r="O129" s="73"/>
      <c r="P129" s="73"/>
      <c r="Q129" s="150">
        <v>13975.0</v>
      </c>
      <c r="R129" s="151">
        <v>19995.0</v>
      </c>
      <c r="S129" s="73"/>
      <c r="T129" s="73"/>
      <c r="U129" s="73">
        <f t="shared" si="8"/>
        <v>15372.5</v>
      </c>
      <c r="V129" s="152"/>
      <c r="W129" s="75"/>
      <c r="X129" s="75"/>
      <c r="Y129" s="75"/>
    </row>
    <row r="130" ht="14.25" customHeight="1">
      <c r="A130" s="129">
        <v>29.0</v>
      </c>
      <c r="B130" s="159">
        <v>7945.0</v>
      </c>
      <c r="C130" s="159">
        <v>6460.0</v>
      </c>
      <c r="D130" s="67" t="s">
        <v>224</v>
      </c>
      <c r="E130" s="67" t="s">
        <v>225</v>
      </c>
      <c r="F130" s="144"/>
      <c r="G130" s="144"/>
      <c r="H130" s="144"/>
      <c r="I130" s="144"/>
      <c r="J130" s="144"/>
      <c r="K130" s="144"/>
      <c r="L130" s="144"/>
      <c r="M130" s="144"/>
      <c r="N130" s="144">
        <v>19975.0</v>
      </c>
      <c r="O130" s="144"/>
      <c r="P130" s="144"/>
      <c r="Q130" s="146">
        <v>13975.0</v>
      </c>
      <c r="R130" s="131"/>
      <c r="S130" s="37"/>
      <c r="T130" s="37"/>
      <c r="U130" s="131">
        <v>13975.0</v>
      </c>
      <c r="V130" s="77"/>
    </row>
    <row r="131" ht="14.25" customHeight="1">
      <c r="A131" s="129">
        <v>30.0</v>
      </c>
      <c r="B131" s="154">
        <v>7359.0</v>
      </c>
      <c r="C131" s="154">
        <v>6075.0</v>
      </c>
      <c r="D131" s="108" t="s">
        <v>226</v>
      </c>
      <c r="E131" s="76" t="s">
        <v>227</v>
      </c>
      <c r="F131" s="144"/>
      <c r="G131" s="144"/>
      <c r="H131" s="144"/>
      <c r="I131" s="144"/>
      <c r="J131" s="144"/>
      <c r="K131" s="144"/>
      <c r="L131" s="144">
        <v>10575.0</v>
      </c>
      <c r="M131" s="144"/>
      <c r="N131" s="144"/>
      <c r="O131" s="144"/>
      <c r="P131" s="144"/>
      <c r="Q131" s="146">
        <v>13975.0</v>
      </c>
      <c r="R131" s="131">
        <v>19995.0</v>
      </c>
      <c r="S131" s="37"/>
      <c r="T131" s="37"/>
      <c r="U131" s="37">
        <f t="shared" ref="U131:U134" si="9">Q131*110%</f>
        <v>15372.5</v>
      </c>
      <c r="V131" s="77"/>
    </row>
    <row r="132" ht="14.25" customHeight="1">
      <c r="A132" s="129">
        <v>31.0</v>
      </c>
      <c r="B132" s="29">
        <v>7822.0</v>
      </c>
      <c r="C132" s="29">
        <v>6378.0</v>
      </c>
      <c r="D132" s="76" t="s">
        <v>228</v>
      </c>
      <c r="E132" s="76" t="s">
        <v>229</v>
      </c>
      <c r="F132" s="144"/>
      <c r="G132" s="144"/>
      <c r="H132" s="144"/>
      <c r="I132" s="144"/>
      <c r="J132" s="144"/>
      <c r="K132" s="144"/>
      <c r="L132" s="144"/>
      <c r="M132" s="144"/>
      <c r="N132" s="144">
        <v>19975.0</v>
      </c>
      <c r="O132" s="144"/>
      <c r="P132" s="144"/>
      <c r="Q132" s="146">
        <v>17975.0</v>
      </c>
      <c r="R132" s="131">
        <v>19995.0</v>
      </c>
      <c r="S132" s="37"/>
      <c r="T132" s="37"/>
      <c r="U132" s="37">
        <f t="shared" si="9"/>
        <v>19772.5</v>
      </c>
      <c r="V132" s="77"/>
    </row>
    <row r="133" ht="14.25" customHeight="1">
      <c r="A133" s="129">
        <v>32.0</v>
      </c>
      <c r="B133" s="29">
        <v>7868.0</v>
      </c>
      <c r="C133" s="29">
        <v>6419.0</v>
      </c>
      <c r="D133" s="76" t="s">
        <v>230</v>
      </c>
      <c r="E133" s="76" t="s">
        <v>231</v>
      </c>
      <c r="F133" s="144"/>
      <c r="G133" s="144"/>
      <c r="H133" s="144"/>
      <c r="I133" s="144"/>
      <c r="J133" s="144"/>
      <c r="K133" s="144"/>
      <c r="L133" s="144"/>
      <c r="M133" s="144"/>
      <c r="N133" s="144">
        <v>19975.0</v>
      </c>
      <c r="O133" s="144"/>
      <c r="P133" s="144"/>
      <c r="Q133" s="146">
        <v>13975.0</v>
      </c>
      <c r="R133" s="131">
        <v>19995.0</v>
      </c>
      <c r="S133" s="37"/>
      <c r="T133" s="37"/>
      <c r="U133" s="37">
        <f t="shared" si="9"/>
        <v>15372.5</v>
      </c>
      <c r="V133" s="77"/>
    </row>
    <row r="134" ht="14.25" customHeight="1">
      <c r="A134" s="129">
        <v>33.0</v>
      </c>
      <c r="B134" s="159">
        <v>7893.0</v>
      </c>
      <c r="C134" s="159">
        <v>6421.0</v>
      </c>
      <c r="D134" s="67" t="s">
        <v>232</v>
      </c>
      <c r="E134" s="67" t="s">
        <v>233</v>
      </c>
      <c r="F134" s="144"/>
      <c r="G134" s="144"/>
      <c r="H134" s="144"/>
      <c r="I134" s="144"/>
      <c r="J134" s="144"/>
      <c r="K134" s="144"/>
      <c r="L134" s="144"/>
      <c r="M134" s="144"/>
      <c r="N134" s="144">
        <v>19975.0</v>
      </c>
      <c r="O134" s="144"/>
      <c r="P134" s="144"/>
      <c r="Q134" s="146">
        <v>13975.0</v>
      </c>
      <c r="R134" s="131">
        <v>19995.0</v>
      </c>
      <c r="S134" s="37"/>
      <c r="T134" s="37"/>
      <c r="U134" s="37">
        <f t="shared" si="9"/>
        <v>15372.5</v>
      </c>
      <c r="V134" s="77"/>
    </row>
    <row r="135" ht="14.25" customHeight="1">
      <c r="A135" s="129">
        <v>34.0</v>
      </c>
      <c r="B135" s="29">
        <v>7939.0</v>
      </c>
      <c r="C135" s="29">
        <v>6454.0</v>
      </c>
      <c r="D135" s="30" t="s">
        <v>234</v>
      </c>
      <c r="E135" s="31" t="s">
        <v>235</v>
      </c>
      <c r="F135" s="144"/>
      <c r="G135" s="144"/>
      <c r="H135" s="144"/>
      <c r="I135" s="144"/>
      <c r="J135" s="144"/>
      <c r="K135" s="144"/>
      <c r="L135" s="144"/>
      <c r="M135" s="144"/>
      <c r="N135" s="144">
        <v>19975.0</v>
      </c>
      <c r="O135" s="144"/>
      <c r="P135" s="144"/>
      <c r="Q135" s="146">
        <v>13975.0</v>
      </c>
      <c r="R135" s="131"/>
      <c r="S135" s="37"/>
      <c r="T135" s="37"/>
      <c r="U135" s="131">
        <v>13975.0</v>
      </c>
      <c r="V135" s="77"/>
    </row>
    <row r="136" ht="14.25" customHeight="1">
      <c r="A136" s="129">
        <v>35.0</v>
      </c>
      <c r="B136" s="154">
        <v>7446.0</v>
      </c>
      <c r="C136" s="154">
        <v>6146.0</v>
      </c>
      <c r="D136" s="160" t="s">
        <v>106</v>
      </c>
      <c r="E136" s="76" t="s">
        <v>240</v>
      </c>
      <c r="F136" s="144"/>
      <c r="G136" s="144"/>
      <c r="H136" s="144"/>
      <c r="I136" s="144"/>
      <c r="J136" s="144"/>
      <c r="K136" s="144"/>
      <c r="L136" s="144">
        <v>12575.0</v>
      </c>
      <c r="M136" s="144"/>
      <c r="N136" s="144"/>
      <c r="O136" s="144"/>
      <c r="P136" s="144"/>
      <c r="Q136" s="146">
        <v>13975.0</v>
      </c>
      <c r="R136" s="131">
        <v>19995.0</v>
      </c>
      <c r="S136" s="37"/>
      <c r="T136" s="37"/>
      <c r="U136" s="37">
        <f>Q136*110%</f>
        <v>15372.5</v>
      </c>
      <c r="V136" s="77"/>
    </row>
    <row r="137" ht="14.25" customHeight="1">
      <c r="A137" s="129">
        <v>36.0</v>
      </c>
      <c r="B137" s="29">
        <v>7534.0</v>
      </c>
      <c r="C137" s="29">
        <v>6180.0</v>
      </c>
      <c r="D137" s="76" t="s">
        <v>241</v>
      </c>
      <c r="E137" s="76" t="s">
        <v>242</v>
      </c>
      <c r="F137" s="144" t="s">
        <v>56</v>
      </c>
      <c r="G137" s="144" t="s">
        <v>56</v>
      </c>
      <c r="H137" s="144" t="s">
        <v>56</v>
      </c>
      <c r="I137" s="144" t="s">
        <v>56</v>
      </c>
      <c r="J137" s="144" t="s">
        <v>56</v>
      </c>
      <c r="K137" s="144" t="s">
        <v>56</v>
      </c>
      <c r="L137" s="144" t="s">
        <v>56</v>
      </c>
      <c r="M137" s="144" t="s">
        <v>56</v>
      </c>
      <c r="N137" s="144" t="s">
        <v>56</v>
      </c>
      <c r="O137" s="144" t="s">
        <v>56</v>
      </c>
      <c r="P137" s="144" t="s">
        <v>56</v>
      </c>
      <c r="Q137" s="146" t="s">
        <v>56</v>
      </c>
      <c r="R137" s="37"/>
      <c r="S137" s="37"/>
      <c r="T137" s="37"/>
      <c r="U137" s="131" t="s">
        <v>194</v>
      </c>
      <c r="V137" s="77"/>
    </row>
    <row r="138" ht="14.25" customHeight="1">
      <c r="A138" s="129">
        <v>37.0</v>
      </c>
      <c r="B138" s="29">
        <v>7950.0</v>
      </c>
      <c r="C138" s="29">
        <v>6462.0</v>
      </c>
      <c r="D138" s="30" t="s">
        <v>243</v>
      </c>
      <c r="E138" s="76" t="s">
        <v>244</v>
      </c>
      <c r="F138" s="144"/>
      <c r="G138" s="144"/>
      <c r="H138" s="144"/>
      <c r="I138" s="144"/>
      <c r="J138" s="144"/>
      <c r="K138" s="144"/>
      <c r="L138" s="144"/>
      <c r="M138" s="144"/>
      <c r="N138" s="144">
        <v>19975.0</v>
      </c>
      <c r="O138" s="144"/>
      <c r="P138" s="144"/>
      <c r="Q138" s="146">
        <v>13975.0</v>
      </c>
      <c r="R138" s="131">
        <v>19995.0</v>
      </c>
      <c r="S138" s="37"/>
      <c r="T138" s="37"/>
      <c r="U138" s="37">
        <f>Q138*110%</f>
        <v>15372.5</v>
      </c>
      <c r="V138" s="77"/>
    </row>
    <row r="139" ht="14.25" customHeight="1">
      <c r="A139" s="121" t="s">
        <v>8</v>
      </c>
      <c r="B139" s="121" t="s">
        <v>9</v>
      </c>
      <c r="C139" s="122" t="s">
        <v>10</v>
      </c>
      <c r="D139" s="123" t="s">
        <v>11</v>
      </c>
      <c r="E139" s="124" t="s">
        <v>12</v>
      </c>
      <c r="F139" s="125" t="s">
        <v>13</v>
      </c>
      <c r="G139" s="93"/>
      <c r="H139" s="93"/>
      <c r="I139" s="94"/>
      <c r="J139" s="126" t="s">
        <v>15</v>
      </c>
      <c r="K139" s="93"/>
      <c r="L139" s="93"/>
      <c r="M139" s="96"/>
      <c r="N139" s="127" t="s">
        <v>17</v>
      </c>
      <c r="O139" s="93"/>
      <c r="P139" s="93"/>
      <c r="Q139" s="98"/>
      <c r="R139" s="52" t="s">
        <v>18</v>
      </c>
      <c r="S139" s="16"/>
      <c r="T139" s="16"/>
      <c r="U139" s="128"/>
      <c r="V139" s="77"/>
    </row>
    <row r="140" ht="14.25" customHeight="1">
      <c r="A140" s="22"/>
      <c r="B140" s="22"/>
      <c r="C140" s="22"/>
      <c r="D140" s="22"/>
      <c r="E140" s="22"/>
      <c r="F140" s="25" t="s">
        <v>20</v>
      </c>
      <c r="G140" s="25" t="s">
        <v>21</v>
      </c>
      <c r="H140" s="25" t="s">
        <v>22</v>
      </c>
      <c r="I140" s="25" t="s">
        <v>23</v>
      </c>
      <c r="J140" s="25" t="s">
        <v>20</v>
      </c>
      <c r="K140" s="25" t="s">
        <v>21</v>
      </c>
      <c r="L140" s="25" t="s">
        <v>22</v>
      </c>
      <c r="M140" s="25" t="s">
        <v>23</v>
      </c>
      <c r="N140" s="25" t="s">
        <v>20</v>
      </c>
      <c r="O140" s="25" t="s">
        <v>21</v>
      </c>
      <c r="P140" s="25" t="s">
        <v>22</v>
      </c>
      <c r="Q140" s="25" t="s">
        <v>23</v>
      </c>
      <c r="R140" s="25" t="s">
        <v>20</v>
      </c>
      <c r="S140" s="25" t="s">
        <v>21</v>
      </c>
      <c r="T140" s="25" t="s">
        <v>22</v>
      </c>
      <c r="U140" s="25" t="s">
        <v>23</v>
      </c>
      <c r="V140" s="77"/>
    </row>
    <row r="141" ht="14.25" customHeight="1">
      <c r="A141" s="129">
        <v>38.0</v>
      </c>
      <c r="B141" s="29">
        <v>7898.0</v>
      </c>
      <c r="C141" s="29">
        <v>6425.0</v>
      </c>
      <c r="D141" s="30" t="s">
        <v>245</v>
      </c>
      <c r="E141" s="31" t="s">
        <v>246</v>
      </c>
      <c r="F141" s="144"/>
      <c r="G141" s="144"/>
      <c r="H141" s="144"/>
      <c r="I141" s="144"/>
      <c r="J141" s="144"/>
      <c r="K141" s="144"/>
      <c r="L141" s="144"/>
      <c r="M141" s="144"/>
      <c r="N141" s="144"/>
      <c r="O141" s="144"/>
      <c r="P141" s="144" t="s">
        <v>247</v>
      </c>
      <c r="Q141" s="144"/>
      <c r="R141" s="131">
        <v>19995.0</v>
      </c>
      <c r="S141" s="37"/>
      <c r="T141" s="37"/>
      <c r="U141" s="37">
        <v>27950.0</v>
      </c>
      <c r="V141" s="77"/>
    </row>
    <row r="142" ht="14.25" customHeight="1">
      <c r="A142" s="129">
        <v>40.0</v>
      </c>
      <c r="B142" s="159">
        <v>7931.0</v>
      </c>
      <c r="C142" s="159">
        <v>6447.0</v>
      </c>
      <c r="D142" s="67" t="s">
        <v>248</v>
      </c>
      <c r="E142" s="67" t="s">
        <v>249</v>
      </c>
      <c r="F142" s="37"/>
      <c r="G142" s="37"/>
      <c r="H142" s="37"/>
      <c r="I142" s="37"/>
      <c r="J142" s="37"/>
      <c r="K142" s="37"/>
      <c r="L142" s="37"/>
      <c r="M142" s="37"/>
      <c r="N142" s="37">
        <v>19975.0</v>
      </c>
      <c r="O142" s="37"/>
      <c r="P142" s="37"/>
      <c r="Q142" s="37">
        <v>13975.0</v>
      </c>
      <c r="R142" s="131">
        <v>19995.0</v>
      </c>
      <c r="S142" s="27"/>
      <c r="T142" s="27"/>
      <c r="U142" s="27">
        <f t="shared" ref="U142:U143" si="10">Q142*110%</f>
        <v>15372.5</v>
      </c>
      <c r="V142" s="77"/>
    </row>
    <row r="143" ht="14.25" customHeight="1">
      <c r="A143" s="129">
        <v>41.0</v>
      </c>
      <c r="B143" s="159">
        <v>7920.0</v>
      </c>
      <c r="C143" s="159">
        <v>6440.0</v>
      </c>
      <c r="D143" s="67" t="s">
        <v>250</v>
      </c>
      <c r="E143" s="67"/>
      <c r="F143" s="37"/>
      <c r="G143" s="37"/>
      <c r="H143" s="37"/>
      <c r="I143" s="37"/>
      <c r="J143" s="37"/>
      <c r="K143" s="37"/>
      <c r="L143" s="37"/>
      <c r="M143" s="37"/>
      <c r="N143" s="37">
        <v>19975.0</v>
      </c>
      <c r="O143" s="37"/>
      <c r="P143" s="37"/>
      <c r="Q143" s="37">
        <v>13975.0</v>
      </c>
      <c r="R143" s="131">
        <v>19995.0</v>
      </c>
      <c r="S143" s="27"/>
      <c r="T143" s="27"/>
      <c r="U143" s="27">
        <f t="shared" si="10"/>
        <v>15372.5</v>
      </c>
      <c r="V143" s="77"/>
    </row>
    <row r="144" ht="14.25" customHeight="1">
      <c r="A144" s="162"/>
      <c r="B144" s="118"/>
      <c r="C144" s="118"/>
      <c r="D144" s="119"/>
      <c r="E144" s="119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3"/>
      <c r="S144" s="3"/>
      <c r="T144" s="3"/>
      <c r="U144" s="3"/>
      <c r="V144" s="77"/>
    </row>
    <row r="145" ht="14.25" customHeight="1">
      <c r="A145" s="162"/>
      <c r="B145" s="118"/>
      <c r="C145" s="118"/>
      <c r="D145" s="119"/>
      <c r="E145" s="119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3"/>
      <c r="S145" s="3"/>
      <c r="T145" s="3"/>
      <c r="U145" s="3"/>
      <c r="V145" s="77"/>
    </row>
    <row r="146" ht="14.25" customHeight="1">
      <c r="A146" s="162"/>
      <c r="B146" s="118"/>
      <c r="C146" s="118"/>
      <c r="D146" s="119"/>
      <c r="E146" s="119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3"/>
      <c r="S146" s="3"/>
      <c r="T146" s="3"/>
      <c r="U146" s="3"/>
      <c r="V146" s="77"/>
    </row>
    <row r="147" ht="14.25" customHeight="1">
      <c r="A147" s="162"/>
      <c r="B147" s="118"/>
      <c r="C147" s="118"/>
      <c r="D147" s="119"/>
      <c r="E147" s="119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3"/>
      <c r="S147" s="3"/>
      <c r="T147" s="3"/>
      <c r="U147" s="3"/>
      <c r="V147" s="77"/>
    </row>
    <row r="148" ht="14.25" customHeight="1">
      <c r="A148" s="162"/>
      <c r="B148" s="118"/>
      <c r="C148" s="118"/>
      <c r="D148" s="119"/>
      <c r="E148" s="119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3"/>
      <c r="S148" s="3"/>
      <c r="T148" s="3"/>
      <c r="U148" s="3"/>
      <c r="V148" s="77"/>
    </row>
    <row r="149" ht="14.25" customHeight="1">
      <c r="A149" s="162"/>
      <c r="B149" s="118"/>
      <c r="C149" s="118"/>
      <c r="D149" s="119"/>
      <c r="E149" s="119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3"/>
      <c r="S149" s="3"/>
      <c r="T149" s="3"/>
      <c r="U149" s="3"/>
      <c r="V149" s="77"/>
    </row>
    <row r="150" ht="14.25" customHeight="1">
      <c r="A150" s="162"/>
      <c r="B150" s="118"/>
      <c r="C150" s="118"/>
      <c r="D150" s="119"/>
      <c r="E150" s="119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3"/>
      <c r="S150" s="3"/>
      <c r="T150" s="3"/>
      <c r="U150" s="3"/>
      <c r="V150" s="77"/>
    </row>
    <row r="151" ht="14.25" customHeight="1">
      <c r="A151" s="162"/>
      <c r="B151" s="118"/>
      <c r="C151" s="118"/>
      <c r="D151" s="119"/>
      <c r="E151" s="119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3"/>
      <c r="S151" s="3"/>
      <c r="T151" s="3"/>
      <c r="U151" s="3"/>
      <c r="V151" s="77"/>
    </row>
    <row r="152" ht="14.25" customHeight="1">
      <c r="A152" s="162"/>
      <c r="B152" s="118"/>
      <c r="C152" s="118"/>
      <c r="D152" s="119"/>
      <c r="E152" s="119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3"/>
      <c r="S152" s="3"/>
      <c r="T152" s="3"/>
      <c r="U152" s="3"/>
      <c r="V152" s="77"/>
    </row>
    <row r="153" ht="14.25" customHeight="1">
      <c r="A153" s="162"/>
      <c r="B153" s="118"/>
      <c r="C153" s="118"/>
      <c r="D153" s="119"/>
      <c r="E153" s="119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3"/>
      <c r="S153" s="3"/>
      <c r="T153" s="3"/>
      <c r="U153" s="3"/>
      <c r="V153" s="77"/>
    </row>
    <row r="154" ht="14.25" customHeight="1">
      <c r="A154" s="162"/>
      <c r="B154" s="118"/>
      <c r="C154" s="118"/>
      <c r="D154" s="119"/>
      <c r="E154" s="119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3"/>
      <c r="S154" s="3"/>
      <c r="T154" s="3"/>
      <c r="U154" s="3"/>
      <c r="V154" s="77"/>
    </row>
    <row r="155" ht="14.25" customHeight="1">
      <c r="A155" s="162"/>
      <c r="B155" s="118"/>
      <c r="C155" s="118"/>
      <c r="D155" s="119"/>
      <c r="E155" s="119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3"/>
      <c r="S155" s="3"/>
      <c r="T155" s="3"/>
      <c r="U155" s="3"/>
      <c r="V155" s="77"/>
    </row>
    <row r="156" ht="14.25" customHeight="1">
      <c r="A156" s="162"/>
      <c r="B156" s="118"/>
      <c r="C156" s="118"/>
      <c r="D156" s="119"/>
      <c r="E156" s="119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3"/>
      <c r="S156" s="3"/>
      <c r="T156" s="3"/>
      <c r="U156" s="3"/>
      <c r="V156" s="77"/>
    </row>
    <row r="157" ht="14.25" customHeight="1">
      <c r="A157" s="162"/>
      <c r="B157" s="118"/>
      <c r="C157" s="118"/>
      <c r="D157" s="119"/>
      <c r="E157" s="119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3"/>
      <c r="S157" s="3"/>
      <c r="T157" s="3"/>
      <c r="U157" s="3"/>
      <c r="V157" s="77"/>
    </row>
    <row r="158" ht="14.25" customHeight="1">
      <c r="A158" s="162"/>
      <c r="B158" s="118"/>
      <c r="C158" s="118"/>
      <c r="D158" s="119"/>
      <c r="E158" s="119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3"/>
      <c r="S158" s="3"/>
      <c r="T158" s="3"/>
      <c r="U158" s="3"/>
      <c r="V158" s="77"/>
    </row>
    <row r="159" ht="14.25" customHeight="1">
      <c r="A159" s="162"/>
      <c r="B159" s="118"/>
      <c r="C159" s="118"/>
      <c r="D159" s="119"/>
      <c r="E159" s="119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3"/>
      <c r="S159" s="3"/>
      <c r="T159" s="3"/>
      <c r="U159" s="3"/>
      <c r="V159" s="77"/>
    </row>
    <row r="160" ht="14.25" customHeight="1">
      <c r="A160" s="162"/>
      <c r="B160" s="118"/>
      <c r="C160" s="118"/>
      <c r="D160" s="119"/>
      <c r="E160" s="119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3"/>
      <c r="S160" s="3"/>
      <c r="T160" s="3"/>
      <c r="U160" s="3"/>
      <c r="V160" s="77"/>
    </row>
    <row r="161" ht="14.25" customHeight="1">
      <c r="A161" s="162"/>
      <c r="B161" s="118"/>
      <c r="C161" s="118"/>
      <c r="D161" s="119"/>
      <c r="E161" s="119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3"/>
      <c r="S161" s="3"/>
      <c r="T161" s="3"/>
      <c r="U161" s="3"/>
      <c r="V161" s="77"/>
    </row>
    <row r="162" ht="14.25" customHeight="1">
      <c r="A162" s="162"/>
      <c r="B162" s="118"/>
      <c r="C162" s="118"/>
      <c r="D162" s="119"/>
      <c r="E162" s="119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3"/>
      <c r="S162" s="3"/>
      <c r="T162" s="3"/>
      <c r="U162" s="3"/>
      <c r="V162" s="77"/>
    </row>
    <row r="163" ht="14.25" customHeight="1">
      <c r="A163" s="162"/>
      <c r="B163" s="118"/>
      <c r="C163" s="118"/>
      <c r="D163" s="119"/>
      <c r="E163" s="119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3"/>
      <c r="S163" s="3"/>
      <c r="T163" s="3"/>
      <c r="U163" s="3"/>
      <c r="V163" s="77"/>
    </row>
    <row r="164" ht="14.25" customHeight="1">
      <c r="A164" s="162"/>
      <c r="B164" s="118"/>
      <c r="C164" s="118"/>
      <c r="D164" s="119"/>
      <c r="E164" s="119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3"/>
      <c r="S164" s="3"/>
      <c r="T164" s="3"/>
      <c r="U164" s="3"/>
      <c r="V164" s="77"/>
    </row>
    <row r="165" ht="14.25" customHeight="1">
      <c r="A165" s="162"/>
      <c r="B165" s="118"/>
      <c r="C165" s="118"/>
      <c r="D165" s="119"/>
      <c r="E165" s="119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3"/>
      <c r="S165" s="3"/>
      <c r="T165" s="3"/>
      <c r="U165" s="3"/>
      <c r="V165" s="77"/>
    </row>
    <row r="166" ht="14.25" customHeight="1">
      <c r="A166" s="162"/>
      <c r="B166" s="118"/>
      <c r="C166" s="118"/>
      <c r="D166" s="119"/>
      <c r="E166" s="119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3"/>
      <c r="S166" s="3"/>
      <c r="T166" s="3"/>
      <c r="U166" s="3"/>
      <c r="V166" s="77"/>
    </row>
    <row r="167" ht="14.25" customHeight="1">
      <c r="A167" s="162"/>
      <c r="B167" s="118"/>
      <c r="C167" s="118"/>
      <c r="D167" s="119"/>
      <c r="E167" s="119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3"/>
      <c r="S167" s="3"/>
      <c r="T167" s="3"/>
      <c r="U167" s="3"/>
      <c r="V167" s="77"/>
    </row>
    <row r="168" ht="14.25" customHeight="1">
      <c r="A168" s="162"/>
      <c r="B168" s="118"/>
      <c r="C168" s="118"/>
      <c r="D168" s="119"/>
      <c r="E168" s="119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3"/>
      <c r="S168" s="3"/>
      <c r="T168" s="3"/>
      <c r="U168" s="3"/>
      <c r="V168" s="77"/>
    </row>
    <row r="169" ht="14.25" customHeight="1">
      <c r="A169" s="162"/>
      <c r="B169" s="118"/>
      <c r="C169" s="118"/>
      <c r="D169" s="119"/>
      <c r="E169" s="119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3"/>
      <c r="S169" s="3"/>
      <c r="T169" s="3"/>
      <c r="U169" s="3"/>
      <c r="V169" s="77"/>
    </row>
    <row r="170" ht="14.25" customHeight="1">
      <c r="A170" s="162"/>
      <c r="B170" s="118"/>
      <c r="C170" s="118"/>
      <c r="D170" s="119"/>
      <c r="E170" s="119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3"/>
      <c r="S170" s="3"/>
      <c r="T170" s="3"/>
      <c r="U170" s="3"/>
      <c r="V170" s="77"/>
    </row>
    <row r="171" ht="14.25" customHeight="1">
      <c r="A171" s="162"/>
      <c r="B171" s="118"/>
      <c r="C171" s="118"/>
      <c r="D171" s="119"/>
      <c r="E171" s="119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3"/>
      <c r="S171" s="3"/>
      <c r="T171" s="3"/>
      <c r="U171" s="3"/>
      <c r="V171" s="77"/>
    </row>
    <row r="172" ht="14.25" customHeight="1">
      <c r="A172" s="3" t="s">
        <v>3</v>
      </c>
      <c r="B172" s="3"/>
      <c r="C172" s="3"/>
      <c r="D172" s="3"/>
      <c r="E172" s="119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3"/>
      <c r="S172" s="3"/>
      <c r="T172" s="3"/>
      <c r="U172" s="3"/>
      <c r="V172" s="77"/>
    </row>
    <row r="173" ht="14.25" customHeight="1">
      <c r="A173" s="3" t="s">
        <v>4</v>
      </c>
      <c r="B173" s="3"/>
      <c r="C173" s="3"/>
      <c r="D173" s="3"/>
      <c r="E173" s="119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3"/>
      <c r="S173" s="3"/>
      <c r="T173" s="3"/>
      <c r="U173" s="3"/>
      <c r="V173" s="77"/>
    </row>
    <row r="174" ht="14.25" customHeight="1">
      <c r="A174" s="2" t="s">
        <v>2</v>
      </c>
    </row>
    <row r="175" ht="14.25" customHeight="1">
      <c r="A175" s="8" t="s">
        <v>251</v>
      </c>
    </row>
    <row r="176" ht="14.25" customHeight="1">
      <c r="A176" s="12" t="s">
        <v>252</v>
      </c>
    </row>
    <row r="177" ht="20.25" customHeight="1">
      <c r="A177" s="88" t="s">
        <v>8</v>
      </c>
      <c r="B177" s="88" t="s">
        <v>9</v>
      </c>
      <c r="C177" s="89" t="s">
        <v>10</v>
      </c>
      <c r="D177" s="90" t="s">
        <v>11</v>
      </c>
      <c r="E177" s="91" t="s">
        <v>12</v>
      </c>
      <c r="F177" s="92" t="s">
        <v>13</v>
      </c>
      <c r="G177" s="93"/>
      <c r="H177" s="93"/>
      <c r="I177" s="94"/>
      <c r="J177" s="95" t="s">
        <v>15</v>
      </c>
      <c r="K177" s="93"/>
      <c r="L177" s="93"/>
      <c r="M177" s="96"/>
      <c r="N177" s="97" t="s">
        <v>17</v>
      </c>
      <c r="O177" s="93"/>
      <c r="P177" s="93"/>
      <c r="Q177" s="98"/>
      <c r="R177" s="52" t="s">
        <v>18</v>
      </c>
      <c r="S177" s="16"/>
      <c r="T177" s="16"/>
      <c r="U177" s="128"/>
    </row>
    <row r="178" ht="14.25" customHeight="1">
      <c r="A178" s="22"/>
      <c r="B178" s="22"/>
      <c r="C178" s="22"/>
      <c r="D178" s="22"/>
      <c r="E178" s="22"/>
      <c r="F178" s="25" t="s">
        <v>20</v>
      </c>
      <c r="G178" s="25" t="s">
        <v>21</v>
      </c>
      <c r="H178" s="25" t="s">
        <v>22</v>
      </c>
      <c r="I178" s="25" t="s">
        <v>23</v>
      </c>
      <c r="J178" s="25" t="s">
        <v>20</v>
      </c>
      <c r="K178" s="25" t="s">
        <v>21</v>
      </c>
      <c r="L178" s="25" t="s">
        <v>22</v>
      </c>
      <c r="M178" s="25" t="s">
        <v>23</v>
      </c>
      <c r="N178" s="25" t="s">
        <v>20</v>
      </c>
      <c r="O178" s="25" t="s">
        <v>21</v>
      </c>
      <c r="P178" s="25" t="s">
        <v>22</v>
      </c>
      <c r="Q178" s="25" t="s">
        <v>23</v>
      </c>
      <c r="R178" s="25" t="s">
        <v>20</v>
      </c>
      <c r="S178" s="25" t="s">
        <v>21</v>
      </c>
      <c r="T178" s="25" t="s">
        <v>22</v>
      </c>
      <c r="U178" s="25" t="s">
        <v>23</v>
      </c>
    </row>
    <row r="179" ht="14.25" customHeight="1">
      <c r="A179" s="169">
        <v>1.0</v>
      </c>
      <c r="B179" s="100">
        <v>6688.0</v>
      </c>
      <c r="C179" s="100">
        <v>5560.0</v>
      </c>
      <c r="D179" s="101" t="s">
        <v>253</v>
      </c>
      <c r="E179" s="102" t="s">
        <v>254</v>
      </c>
      <c r="F179" s="103">
        <v>1058.0</v>
      </c>
      <c r="G179" s="37">
        <v>1058.0</v>
      </c>
      <c r="H179" s="37">
        <v>1058.0</v>
      </c>
      <c r="I179" s="37">
        <v>10575.0</v>
      </c>
      <c r="J179" s="37"/>
      <c r="K179" s="37"/>
      <c r="L179" s="37"/>
      <c r="M179" s="37">
        <v>15075.0</v>
      </c>
      <c r="N179" s="130"/>
      <c r="O179" s="37"/>
      <c r="P179" s="37"/>
      <c r="Q179" s="37">
        <v>16975.0</v>
      </c>
      <c r="R179" s="131">
        <v>19995.0</v>
      </c>
      <c r="S179" s="37"/>
      <c r="T179" s="37"/>
      <c r="U179" s="37">
        <f t="shared" ref="U179:U191" si="11">Q179*110%</f>
        <v>18672.5</v>
      </c>
    </row>
    <row r="180" ht="14.25" customHeight="1">
      <c r="A180" s="169">
        <v>2.0</v>
      </c>
      <c r="B180" s="100">
        <v>6924.0</v>
      </c>
      <c r="C180" s="100">
        <v>5731.0</v>
      </c>
      <c r="D180" s="101" t="s">
        <v>255</v>
      </c>
      <c r="E180" s="102" t="s">
        <v>256</v>
      </c>
      <c r="F180" s="103">
        <v>1258.0</v>
      </c>
      <c r="G180" s="37">
        <v>1258.0</v>
      </c>
      <c r="H180" s="37">
        <v>1258.0</v>
      </c>
      <c r="I180" s="37">
        <v>12575.0</v>
      </c>
      <c r="J180" s="37"/>
      <c r="K180" s="37"/>
      <c r="L180" s="37"/>
      <c r="M180" s="37">
        <v>16575.0</v>
      </c>
      <c r="N180" s="130"/>
      <c r="O180" s="37"/>
      <c r="P180" s="37"/>
      <c r="Q180" s="37">
        <v>17975.0</v>
      </c>
      <c r="R180" s="131">
        <v>19995.0</v>
      </c>
      <c r="S180" s="37"/>
      <c r="T180" s="37"/>
      <c r="U180" s="37">
        <f t="shared" si="11"/>
        <v>19772.5</v>
      </c>
    </row>
    <row r="181" ht="14.25" customHeight="1">
      <c r="A181" s="169">
        <v>3.0</v>
      </c>
      <c r="B181" s="100">
        <v>6942.0</v>
      </c>
      <c r="C181" s="100">
        <v>5747.0</v>
      </c>
      <c r="D181" s="101" t="s">
        <v>257</v>
      </c>
      <c r="E181" s="102" t="s">
        <v>258</v>
      </c>
      <c r="F181" s="103">
        <v>1258.0</v>
      </c>
      <c r="G181" s="37">
        <v>1258.0</v>
      </c>
      <c r="H181" s="37">
        <v>1258.0</v>
      </c>
      <c r="I181" s="37">
        <v>12575.0</v>
      </c>
      <c r="J181" s="37"/>
      <c r="K181" s="37"/>
      <c r="L181" s="37"/>
      <c r="M181" s="37">
        <v>16575.0</v>
      </c>
      <c r="N181" s="130"/>
      <c r="O181" s="37"/>
      <c r="P181" s="37"/>
      <c r="Q181" s="37">
        <v>17975.0</v>
      </c>
      <c r="R181" s="131">
        <v>19995.0</v>
      </c>
      <c r="S181" s="37"/>
      <c r="T181" s="37"/>
      <c r="U181" s="37">
        <f t="shared" si="11"/>
        <v>19772.5</v>
      </c>
    </row>
    <row r="182" ht="14.25" customHeight="1">
      <c r="A182" s="169">
        <v>4.0</v>
      </c>
      <c r="B182" s="100">
        <v>6972.0</v>
      </c>
      <c r="C182" s="100">
        <v>5767.0</v>
      </c>
      <c r="D182" s="101" t="s">
        <v>259</v>
      </c>
      <c r="E182" s="102" t="s">
        <v>260</v>
      </c>
      <c r="F182" s="103">
        <v>1258.0</v>
      </c>
      <c r="G182" s="37">
        <v>1258.0</v>
      </c>
      <c r="H182" s="37">
        <v>1258.0</v>
      </c>
      <c r="I182" s="37">
        <v>12575.0</v>
      </c>
      <c r="J182" s="37"/>
      <c r="K182" s="37"/>
      <c r="L182" s="37"/>
      <c r="M182" s="37">
        <v>16575.0</v>
      </c>
      <c r="N182" s="130"/>
      <c r="O182" s="37"/>
      <c r="P182" s="37"/>
      <c r="Q182" s="37">
        <v>17975.0</v>
      </c>
      <c r="R182" s="131">
        <v>19995.0</v>
      </c>
      <c r="S182" s="37"/>
      <c r="T182" s="37"/>
      <c r="U182" s="37">
        <f t="shared" si="11"/>
        <v>19772.5</v>
      </c>
    </row>
    <row r="183" ht="14.25" customHeight="1">
      <c r="A183" s="169">
        <v>5.0</v>
      </c>
      <c r="B183" s="100">
        <v>7169.0</v>
      </c>
      <c r="C183" s="100">
        <v>5918.0</v>
      </c>
      <c r="D183" s="101" t="s">
        <v>261</v>
      </c>
      <c r="E183" s="102" t="s">
        <v>262</v>
      </c>
      <c r="F183" s="103">
        <v>12550.0</v>
      </c>
      <c r="G183" s="37">
        <v>12550.0</v>
      </c>
      <c r="H183" s="37">
        <v>12550.0</v>
      </c>
      <c r="I183" s="37">
        <v>12550.0</v>
      </c>
      <c r="J183" s="37"/>
      <c r="K183" s="37"/>
      <c r="L183" s="37"/>
      <c r="M183" s="37">
        <v>16675.0</v>
      </c>
      <c r="N183" s="130"/>
      <c r="O183" s="37"/>
      <c r="P183" s="37"/>
      <c r="Q183" s="37">
        <v>17975.0</v>
      </c>
      <c r="R183" s="131">
        <v>19995.0</v>
      </c>
      <c r="S183" s="37"/>
      <c r="T183" s="37"/>
      <c r="U183" s="37">
        <f t="shared" si="11"/>
        <v>19772.5</v>
      </c>
    </row>
    <row r="184" ht="14.25" customHeight="1">
      <c r="A184" s="169">
        <v>6.0</v>
      </c>
      <c r="B184" s="100">
        <v>6908.0</v>
      </c>
      <c r="C184" s="100">
        <v>5720.0</v>
      </c>
      <c r="D184" s="101" t="s">
        <v>263</v>
      </c>
      <c r="E184" s="102" t="s">
        <v>264</v>
      </c>
      <c r="F184" s="103">
        <v>1258.0</v>
      </c>
      <c r="G184" s="37">
        <v>1258.0</v>
      </c>
      <c r="H184" s="37">
        <v>1258.0</v>
      </c>
      <c r="I184" s="37">
        <v>12575.0</v>
      </c>
      <c r="J184" s="37"/>
      <c r="K184" s="37"/>
      <c r="L184" s="37"/>
      <c r="M184" s="37">
        <v>16575.0</v>
      </c>
      <c r="N184" s="130"/>
      <c r="O184" s="37"/>
      <c r="P184" s="37"/>
      <c r="Q184" s="37">
        <v>17975.0</v>
      </c>
      <c r="R184" s="131">
        <v>19995.0</v>
      </c>
      <c r="S184" s="37"/>
      <c r="T184" s="37"/>
      <c r="U184" s="37">
        <f t="shared" si="11"/>
        <v>19772.5</v>
      </c>
    </row>
    <row r="185" ht="14.25" customHeight="1">
      <c r="A185" s="169">
        <v>7.0</v>
      </c>
      <c r="B185" s="100">
        <v>6974.0</v>
      </c>
      <c r="C185" s="100">
        <v>5769.0</v>
      </c>
      <c r="D185" s="101" t="s">
        <v>265</v>
      </c>
      <c r="E185" s="102" t="s">
        <v>266</v>
      </c>
      <c r="F185" s="103">
        <v>1258.0</v>
      </c>
      <c r="G185" s="37">
        <v>1258.0</v>
      </c>
      <c r="H185" s="37">
        <v>1258.0</v>
      </c>
      <c r="I185" s="37">
        <v>12575.0</v>
      </c>
      <c r="J185" s="37"/>
      <c r="K185" s="37"/>
      <c r="L185" s="37"/>
      <c r="M185" s="37">
        <v>16575.0</v>
      </c>
      <c r="N185" s="130"/>
      <c r="O185" s="37"/>
      <c r="P185" s="37"/>
      <c r="Q185" s="37">
        <v>17975.0</v>
      </c>
      <c r="R185" s="131">
        <v>19995.0</v>
      </c>
      <c r="S185" s="37"/>
      <c r="T185" s="37"/>
      <c r="U185" s="37">
        <f t="shared" si="11"/>
        <v>19772.5</v>
      </c>
    </row>
    <row r="186" ht="14.25" customHeight="1">
      <c r="A186" s="169">
        <v>8.0</v>
      </c>
      <c r="B186" s="100">
        <v>7035.0</v>
      </c>
      <c r="C186" s="100">
        <v>5817.0</v>
      </c>
      <c r="D186" s="101" t="s">
        <v>267</v>
      </c>
      <c r="E186" s="102" t="s">
        <v>268</v>
      </c>
      <c r="F186" s="103">
        <v>12550.0</v>
      </c>
      <c r="G186" s="37">
        <v>12550.0</v>
      </c>
      <c r="H186" s="37">
        <v>12550.0</v>
      </c>
      <c r="I186" s="37">
        <v>12550.0</v>
      </c>
      <c r="J186" s="37"/>
      <c r="K186" s="37"/>
      <c r="L186" s="37"/>
      <c r="M186" s="37">
        <v>16675.0</v>
      </c>
      <c r="N186" s="130"/>
      <c r="O186" s="37"/>
      <c r="P186" s="37"/>
      <c r="Q186" s="37">
        <v>17975.0</v>
      </c>
      <c r="R186" s="131">
        <v>19995.0</v>
      </c>
      <c r="S186" s="37"/>
      <c r="T186" s="37"/>
      <c r="U186" s="37">
        <f t="shared" si="11"/>
        <v>19772.5</v>
      </c>
    </row>
    <row r="187" ht="14.25" customHeight="1">
      <c r="A187" s="169">
        <v>9.0</v>
      </c>
      <c r="B187" s="100">
        <v>7115.0</v>
      </c>
      <c r="C187" s="100">
        <v>5877.0</v>
      </c>
      <c r="D187" s="101" t="s">
        <v>269</v>
      </c>
      <c r="E187" s="102" t="s">
        <v>270</v>
      </c>
      <c r="F187" s="103">
        <v>12550.0</v>
      </c>
      <c r="G187" s="37">
        <v>1255.0</v>
      </c>
      <c r="H187" s="37">
        <v>848.0</v>
      </c>
      <c r="I187" s="37">
        <v>12550.0</v>
      </c>
      <c r="J187" s="37"/>
      <c r="K187" s="37"/>
      <c r="L187" s="37"/>
      <c r="M187" s="37">
        <v>16075.0</v>
      </c>
      <c r="N187" s="130"/>
      <c r="O187" s="37"/>
      <c r="P187" s="37"/>
      <c r="Q187" s="37">
        <v>17975.0</v>
      </c>
      <c r="R187" s="131">
        <v>19995.0</v>
      </c>
      <c r="S187" s="37"/>
      <c r="T187" s="37"/>
      <c r="U187" s="37">
        <f t="shared" si="11"/>
        <v>19772.5</v>
      </c>
    </row>
    <row r="188" ht="14.25" customHeight="1">
      <c r="A188" s="169">
        <v>10.0</v>
      </c>
      <c r="B188" s="100">
        <v>7112.0</v>
      </c>
      <c r="C188" s="100">
        <v>5874.0</v>
      </c>
      <c r="D188" s="101" t="s">
        <v>271</v>
      </c>
      <c r="E188" s="102" t="s">
        <v>272</v>
      </c>
      <c r="F188" s="103">
        <v>15550.0</v>
      </c>
      <c r="G188" s="103">
        <v>15550.0</v>
      </c>
      <c r="H188" s="103">
        <v>15550.0</v>
      </c>
      <c r="I188" s="103">
        <v>15550.0</v>
      </c>
      <c r="J188" s="37"/>
      <c r="K188" s="37"/>
      <c r="L188" s="37"/>
      <c r="M188" s="37">
        <v>16575.0</v>
      </c>
      <c r="N188" s="130"/>
      <c r="O188" s="37"/>
      <c r="P188" s="37"/>
      <c r="Q188" s="37">
        <v>17975.0</v>
      </c>
      <c r="R188" s="131">
        <v>19995.0</v>
      </c>
      <c r="S188" s="37"/>
      <c r="T188" s="37"/>
      <c r="U188" s="37">
        <f t="shared" si="11"/>
        <v>19772.5</v>
      </c>
    </row>
    <row r="189" ht="14.25" customHeight="1">
      <c r="A189" s="169">
        <v>11.0</v>
      </c>
      <c r="B189" s="100">
        <v>7437.0</v>
      </c>
      <c r="C189" s="100">
        <v>6141.0</v>
      </c>
      <c r="D189" s="101" t="s">
        <v>253</v>
      </c>
      <c r="E189" s="102" t="s">
        <v>273</v>
      </c>
      <c r="F189" s="103">
        <v>16575.0</v>
      </c>
      <c r="G189" s="37"/>
      <c r="H189" s="37"/>
      <c r="I189" s="37">
        <v>16575.0</v>
      </c>
      <c r="J189" s="37"/>
      <c r="K189" s="37"/>
      <c r="L189" s="37"/>
      <c r="M189" s="37">
        <v>16575.0</v>
      </c>
      <c r="N189" s="130"/>
      <c r="O189" s="37"/>
      <c r="P189" s="37"/>
      <c r="Q189" s="37">
        <v>17975.0</v>
      </c>
      <c r="R189" s="131">
        <v>19995.0</v>
      </c>
      <c r="S189" s="37"/>
      <c r="T189" s="37"/>
      <c r="U189" s="37">
        <f t="shared" si="11"/>
        <v>19772.5</v>
      </c>
    </row>
    <row r="190" ht="14.25" customHeight="1">
      <c r="A190" s="169">
        <v>12.0</v>
      </c>
      <c r="B190" s="100">
        <v>6761.0</v>
      </c>
      <c r="C190" s="100">
        <v>5613.0</v>
      </c>
      <c r="D190" s="101" t="s">
        <v>274</v>
      </c>
      <c r="E190" s="102" t="s">
        <v>275</v>
      </c>
      <c r="F190" s="103">
        <v>1058.0</v>
      </c>
      <c r="G190" s="37">
        <v>1058.0</v>
      </c>
      <c r="H190" s="37">
        <v>1058.0</v>
      </c>
      <c r="I190" s="37">
        <v>10575.0</v>
      </c>
      <c r="J190" s="37"/>
      <c r="K190" s="37"/>
      <c r="L190" s="37"/>
      <c r="M190" s="37">
        <v>15175.0</v>
      </c>
      <c r="N190" s="130"/>
      <c r="O190" s="37"/>
      <c r="P190" s="37"/>
      <c r="Q190" s="37">
        <v>16975.0</v>
      </c>
      <c r="R190" s="131">
        <v>19995.0</v>
      </c>
      <c r="S190" s="37"/>
      <c r="T190" s="37"/>
      <c r="U190" s="37">
        <f t="shared" si="11"/>
        <v>18672.5</v>
      </c>
    </row>
    <row r="191" ht="14.25" customHeight="1">
      <c r="A191" s="169">
        <v>13.0</v>
      </c>
      <c r="B191" s="100">
        <v>6957.0</v>
      </c>
      <c r="C191" s="100">
        <v>5755.0</v>
      </c>
      <c r="D191" s="101" t="s">
        <v>276</v>
      </c>
      <c r="E191" s="102" t="s">
        <v>277</v>
      </c>
      <c r="F191" s="103">
        <v>1258.0</v>
      </c>
      <c r="G191" s="37">
        <v>1258.0</v>
      </c>
      <c r="H191" s="37">
        <v>1258.0</v>
      </c>
      <c r="I191" s="37">
        <v>12575.0</v>
      </c>
      <c r="J191" s="37"/>
      <c r="K191" s="37"/>
      <c r="L191" s="37"/>
      <c r="M191" s="37">
        <v>16575.0</v>
      </c>
      <c r="N191" s="130"/>
      <c r="O191" s="37"/>
      <c r="P191" s="37"/>
      <c r="Q191" s="37">
        <v>17975.0</v>
      </c>
      <c r="R191" s="131">
        <v>19995.0</v>
      </c>
      <c r="S191" s="37"/>
      <c r="T191" s="37"/>
      <c r="U191" s="37">
        <f t="shared" si="11"/>
        <v>19772.5</v>
      </c>
    </row>
    <row r="192" ht="14.25" customHeight="1">
      <c r="A192" s="88" t="s">
        <v>8</v>
      </c>
      <c r="B192" s="88" t="s">
        <v>9</v>
      </c>
      <c r="C192" s="89" t="s">
        <v>10</v>
      </c>
      <c r="D192" s="90" t="s">
        <v>11</v>
      </c>
      <c r="E192" s="91" t="s">
        <v>12</v>
      </c>
      <c r="F192" s="92" t="s">
        <v>13</v>
      </c>
      <c r="G192" s="93"/>
      <c r="H192" s="93"/>
      <c r="I192" s="94"/>
      <c r="J192" s="95" t="s">
        <v>15</v>
      </c>
      <c r="K192" s="93"/>
      <c r="L192" s="93"/>
      <c r="M192" s="96"/>
      <c r="N192" s="97" t="s">
        <v>17</v>
      </c>
      <c r="O192" s="93"/>
      <c r="P192" s="93"/>
      <c r="Q192" s="98"/>
      <c r="R192" s="52" t="s">
        <v>18</v>
      </c>
      <c r="S192" s="16"/>
      <c r="T192" s="16"/>
      <c r="U192" s="128"/>
    </row>
    <row r="193" ht="14.25" customHeight="1">
      <c r="A193" s="22"/>
      <c r="B193" s="22"/>
      <c r="C193" s="22"/>
      <c r="D193" s="22"/>
      <c r="E193" s="22"/>
      <c r="F193" s="25" t="s">
        <v>20</v>
      </c>
      <c r="G193" s="25" t="s">
        <v>21</v>
      </c>
      <c r="H193" s="25" t="s">
        <v>22</v>
      </c>
      <c r="I193" s="25" t="s">
        <v>23</v>
      </c>
      <c r="J193" s="25" t="s">
        <v>20</v>
      </c>
      <c r="K193" s="25" t="s">
        <v>21</v>
      </c>
      <c r="L193" s="25" t="s">
        <v>22</v>
      </c>
      <c r="M193" s="25" t="s">
        <v>23</v>
      </c>
      <c r="N193" s="25" t="s">
        <v>20</v>
      </c>
      <c r="O193" s="25" t="s">
        <v>21</v>
      </c>
      <c r="P193" s="25" t="s">
        <v>22</v>
      </c>
      <c r="Q193" s="25" t="s">
        <v>23</v>
      </c>
      <c r="R193" s="25" t="s">
        <v>20</v>
      </c>
      <c r="S193" s="25" t="s">
        <v>21</v>
      </c>
      <c r="T193" s="25" t="s">
        <v>22</v>
      </c>
      <c r="U193" s="25" t="s">
        <v>23</v>
      </c>
    </row>
    <row r="194" ht="14.25" customHeight="1">
      <c r="A194" s="169">
        <v>14.0</v>
      </c>
      <c r="B194" s="100">
        <v>7114.0</v>
      </c>
      <c r="C194" s="100">
        <v>5876.0</v>
      </c>
      <c r="D194" s="101" t="s">
        <v>278</v>
      </c>
      <c r="E194" s="102" t="s">
        <v>279</v>
      </c>
      <c r="F194" s="103">
        <v>12550.0</v>
      </c>
      <c r="G194" s="37">
        <v>12550.0</v>
      </c>
      <c r="H194" s="37">
        <v>12550.0</v>
      </c>
      <c r="I194" s="37">
        <v>12550.0</v>
      </c>
      <c r="J194" s="37"/>
      <c r="K194" s="37"/>
      <c r="L194" s="37"/>
      <c r="M194" s="37">
        <v>13975.0</v>
      </c>
      <c r="N194" s="130"/>
      <c r="O194" s="37"/>
      <c r="P194" s="37"/>
      <c r="Q194" s="37">
        <v>15975.0</v>
      </c>
      <c r="R194" s="131">
        <v>19995.0</v>
      </c>
      <c r="S194" s="37"/>
      <c r="T194" s="37"/>
      <c r="U194" s="37">
        <f t="shared" ref="U194:U196" si="12">Q194*110%</f>
        <v>17572.5</v>
      </c>
    </row>
    <row r="195" ht="14.25" customHeight="1">
      <c r="A195" s="169">
        <v>15.0</v>
      </c>
      <c r="B195" s="100">
        <v>7190.0</v>
      </c>
      <c r="C195" s="100">
        <v>5932.0</v>
      </c>
      <c r="D195" s="101" t="s">
        <v>280</v>
      </c>
      <c r="E195" s="102" t="s">
        <v>281</v>
      </c>
      <c r="F195" s="103">
        <v>12550.0</v>
      </c>
      <c r="G195" s="37">
        <v>12550.0</v>
      </c>
      <c r="H195" s="37">
        <v>12550.0</v>
      </c>
      <c r="I195" s="37">
        <v>12550.0</v>
      </c>
      <c r="J195" s="37"/>
      <c r="K195" s="37"/>
      <c r="L195" s="37"/>
      <c r="M195" s="37">
        <v>13975.0</v>
      </c>
      <c r="N195" s="130"/>
      <c r="O195" s="37"/>
      <c r="P195" s="37"/>
      <c r="Q195" s="37">
        <v>15975.0</v>
      </c>
      <c r="R195" s="131">
        <v>19995.0</v>
      </c>
      <c r="S195" s="37"/>
      <c r="T195" s="37"/>
      <c r="U195" s="37">
        <f t="shared" si="12"/>
        <v>17572.5</v>
      </c>
    </row>
    <row r="196" ht="14.25" customHeight="1">
      <c r="A196" s="169">
        <v>16.0</v>
      </c>
      <c r="B196" s="100">
        <v>7453.0</v>
      </c>
      <c r="C196" s="100">
        <v>6152.0</v>
      </c>
      <c r="D196" s="101" t="s">
        <v>282</v>
      </c>
      <c r="E196" s="102" t="s">
        <v>283</v>
      </c>
      <c r="F196" s="103">
        <v>16575.0</v>
      </c>
      <c r="G196" s="37"/>
      <c r="H196" s="37"/>
      <c r="I196" s="103">
        <v>14575.0</v>
      </c>
      <c r="J196" s="37"/>
      <c r="K196" s="37"/>
      <c r="L196" s="37"/>
      <c r="M196" s="37">
        <v>14575.0</v>
      </c>
      <c r="N196" s="130"/>
      <c r="O196" s="37"/>
      <c r="P196" s="37"/>
      <c r="Q196" s="37">
        <v>16975.0</v>
      </c>
      <c r="R196" s="131">
        <v>19995.0</v>
      </c>
      <c r="S196" s="37"/>
      <c r="T196" s="37"/>
      <c r="U196" s="37">
        <f t="shared" si="12"/>
        <v>18672.5</v>
      </c>
    </row>
    <row r="197" ht="14.25" customHeight="1">
      <c r="A197" s="169">
        <v>17.0</v>
      </c>
      <c r="B197" s="100">
        <v>7030.0</v>
      </c>
      <c r="C197" s="100">
        <v>5813.0</v>
      </c>
      <c r="D197" s="101" t="s">
        <v>284</v>
      </c>
      <c r="E197" s="102" t="s">
        <v>285</v>
      </c>
      <c r="F197" s="103" t="s">
        <v>56</v>
      </c>
      <c r="G197" s="103" t="s">
        <v>56</v>
      </c>
      <c r="H197" s="103" t="s">
        <v>56</v>
      </c>
      <c r="I197" s="103" t="s">
        <v>56</v>
      </c>
      <c r="J197" s="103" t="s">
        <v>56</v>
      </c>
      <c r="K197" s="103" t="s">
        <v>56</v>
      </c>
      <c r="L197" s="103" t="s">
        <v>56</v>
      </c>
      <c r="M197" s="103" t="s">
        <v>56</v>
      </c>
      <c r="N197" s="103"/>
      <c r="O197" s="37"/>
      <c r="P197" s="37"/>
      <c r="Q197" s="103" t="s">
        <v>56</v>
      </c>
      <c r="R197" s="103" t="s">
        <v>56</v>
      </c>
      <c r="S197" s="103" t="s">
        <v>56</v>
      </c>
      <c r="T197" s="103" t="s">
        <v>56</v>
      </c>
      <c r="U197" s="103" t="s">
        <v>56</v>
      </c>
    </row>
    <row r="198" ht="14.25" customHeight="1">
      <c r="A198" s="169">
        <v>18.0</v>
      </c>
      <c r="B198" s="100">
        <v>7179.0</v>
      </c>
      <c r="C198" s="100">
        <v>5925.0</v>
      </c>
      <c r="D198" s="101" t="s">
        <v>286</v>
      </c>
      <c r="E198" s="102" t="s">
        <v>287</v>
      </c>
      <c r="F198" s="103" t="s">
        <v>56</v>
      </c>
      <c r="G198" s="103" t="s">
        <v>56</v>
      </c>
      <c r="H198" s="103" t="s">
        <v>56</v>
      </c>
      <c r="I198" s="103" t="s">
        <v>56</v>
      </c>
      <c r="J198" s="103" t="s">
        <v>56</v>
      </c>
      <c r="K198" s="103" t="s">
        <v>56</v>
      </c>
      <c r="L198" s="103" t="s">
        <v>56</v>
      </c>
      <c r="M198" s="103" t="s">
        <v>56</v>
      </c>
      <c r="N198" s="103"/>
      <c r="O198" s="37"/>
      <c r="P198" s="37"/>
      <c r="Q198" s="103" t="s">
        <v>56</v>
      </c>
      <c r="R198" s="103" t="s">
        <v>56</v>
      </c>
      <c r="S198" s="103" t="s">
        <v>56</v>
      </c>
      <c r="T198" s="103" t="s">
        <v>56</v>
      </c>
      <c r="U198" s="103" t="s">
        <v>56</v>
      </c>
    </row>
    <row r="199" ht="14.25" customHeight="1">
      <c r="A199" s="169">
        <v>19.0</v>
      </c>
      <c r="B199" s="154">
        <v>7391.0</v>
      </c>
      <c r="C199" s="154">
        <v>6106.0</v>
      </c>
      <c r="D199" s="108" t="s">
        <v>288</v>
      </c>
      <c r="E199" s="155" t="s">
        <v>289</v>
      </c>
      <c r="F199" s="37">
        <v>16575.0</v>
      </c>
      <c r="G199" s="43">
        <v>16575.0</v>
      </c>
      <c r="H199" s="43">
        <v>16575.0</v>
      </c>
      <c r="I199" s="43"/>
      <c r="J199" s="147"/>
      <c r="K199" s="43"/>
      <c r="L199" s="43"/>
      <c r="M199" s="43"/>
      <c r="N199" s="37"/>
      <c r="O199" s="37"/>
      <c r="P199" s="37"/>
      <c r="Q199" s="37"/>
      <c r="R199" s="131">
        <v>27980.0</v>
      </c>
      <c r="S199" s="131">
        <v>27980.0</v>
      </c>
      <c r="T199" s="131">
        <v>27980.0</v>
      </c>
      <c r="U199" s="37"/>
    </row>
    <row r="200" ht="14.25" customHeight="1">
      <c r="A200" s="169">
        <v>20.0</v>
      </c>
      <c r="B200" s="154">
        <v>7578.0</v>
      </c>
      <c r="C200" s="154">
        <v>6205.0</v>
      </c>
      <c r="D200" s="108" t="s">
        <v>290</v>
      </c>
      <c r="E200" s="155" t="s">
        <v>291</v>
      </c>
      <c r="F200" s="37"/>
      <c r="G200" s="43"/>
      <c r="H200" s="43"/>
      <c r="I200" s="43"/>
      <c r="J200" s="147"/>
      <c r="K200" s="43"/>
      <c r="L200" s="43"/>
      <c r="M200" s="43"/>
      <c r="N200" s="37">
        <v>16575.0</v>
      </c>
      <c r="O200" s="37"/>
      <c r="P200" s="37"/>
      <c r="Q200" s="37">
        <v>16575.0</v>
      </c>
      <c r="R200" s="131">
        <v>19995.0</v>
      </c>
      <c r="S200" s="37"/>
      <c r="T200" s="37"/>
      <c r="U200" s="37">
        <f>Q200*110%</f>
        <v>18232.5</v>
      </c>
    </row>
    <row r="201" ht="14.25" customHeight="1">
      <c r="A201" s="169">
        <v>21.0</v>
      </c>
      <c r="B201" s="43">
        <v>7972.0</v>
      </c>
      <c r="C201" s="43">
        <v>6475.0</v>
      </c>
      <c r="D201" s="30" t="s">
        <v>292</v>
      </c>
      <c r="E201" s="80" t="s">
        <v>293</v>
      </c>
      <c r="F201" s="37" t="s">
        <v>26</v>
      </c>
      <c r="G201" s="37" t="s">
        <v>26</v>
      </c>
      <c r="H201" s="37" t="s">
        <v>26</v>
      </c>
      <c r="I201" s="37" t="s">
        <v>26</v>
      </c>
      <c r="J201" s="37" t="s">
        <v>26</v>
      </c>
      <c r="K201" s="37" t="s">
        <v>26</v>
      </c>
      <c r="L201" s="37" t="s">
        <v>26</v>
      </c>
      <c r="M201" s="37" t="s">
        <v>26</v>
      </c>
      <c r="N201" s="37" t="s">
        <v>26</v>
      </c>
      <c r="O201" s="37" t="s">
        <v>26</v>
      </c>
      <c r="P201" s="37" t="s">
        <v>26</v>
      </c>
      <c r="Q201" s="37" t="s">
        <v>26</v>
      </c>
      <c r="R201" s="131"/>
      <c r="S201" s="37"/>
      <c r="T201" s="37"/>
      <c r="U201" s="37">
        <v>13975.0</v>
      </c>
    </row>
    <row r="202" ht="14.25" customHeight="1">
      <c r="A202" s="169">
        <v>22.0</v>
      </c>
      <c r="B202" s="29">
        <v>7678.0</v>
      </c>
      <c r="C202" s="29">
        <v>6280.0</v>
      </c>
      <c r="D202" s="30" t="s">
        <v>294</v>
      </c>
      <c r="E202" s="155" t="s">
        <v>295</v>
      </c>
      <c r="F202" s="37"/>
      <c r="G202" s="43"/>
      <c r="H202" s="43"/>
      <c r="I202" s="43"/>
      <c r="J202" s="147"/>
      <c r="K202" s="43"/>
      <c r="L202" s="43"/>
      <c r="M202" s="43"/>
      <c r="N202" s="37">
        <v>18575.0</v>
      </c>
      <c r="O202" s="37"/>
      <c r="P202" s="37"/>
      <c r="Q202" s="37">
        <v>16575.0</v>
      </c>
      <c r="R202" s="131">
        <v>19995.0</v>
      </c>
      <c r="S202" s="37"/>
      <c r="T202" s="37"/>
      <c r="U202" s="37">
        <f t="shared" ref="U202:U203" si="13">Q202*110%</f>
        <v>18232.5</v>
      </c>
    </row>
    <row r="203" ht="14.25" customHeight="1">
      <c r="A203" s="169">
        <v>23.0</v>
      </c>
      <c r="B203" s="29">
        <v>7592.0</v>
      </c>
      <c r="C203" s="29">
        <v>6219.0</v>
      </c>
      <c r="D203" s="30" t="s">
        <v>292</v>
      </c>
      <c r="E203" s="155" t="s">
        <v>296</v>
      </c>
      <c r="F203" s="37"/>
      <c r="G203" s="43"/>
      <c r="H203" s="43"/>
      <c r="I203" s="43"/>
      <c r="J203" s="147"/>
      <c r="K203" s="43"/>
      <c r="L203" s="43"/>
      <c r="M203" s="43"/>
      <c r="N203" s="37">
        <v>16575.0</v>
      </c>
      <c r="O203" s="37"/>
      <c r="P203" s="37"/>
      <c r="Q203" s="37">
        <v>16575.0</v>
      </c>
      <c r="R203" s="131">
        <v>19995.0</v>
      </c>
      <c r="S203" s="37"/>
      <c r="T203" s="37"/>
      <c r="U203" s="37">
        <f t="shared" si="13"/>
        <v>18232.5</v>
      </c>
    </row>
    <row r="204" ht="14.25" customHeight="1">
      <c r="A204" s="170"/>
      <c r="F204" s="27"/>
      <c r="G204" s="78"/>
      <c r="H204" s="78"/>
      <c r="I204" s="78"/>
      <c r="J204" s="58"/>
      <c r="K204" s="78"/>
      <c r="L204" s="78"/>
      <c r="M204" s="78"/>
      <c r="N204" s="27"/>
      <c r="O204" s="27"/>
      <c r="P204" s="27"/>
      <c r="Q204" s="27"/>
      <c r="R204" s="27"/>
      <c r="S204" s="27"/>
      <c r="T204" s="27"/>
      <c r="U204" s="27"/>
    </row>
    <row r="205" ht="14.25" customHeight="1">
      <c r="A205" s="170"/>
      <c r="F205" s="3"/>
      <c r="G205" s="5"/>
      <c r="H205" s="5"/>
      <c r="I205" s="5"/>
      <c r="J205" s="4"/>
      <c r="K205" s="5"/>
      <c r="L205" s="5"/>
      <c r="M205" s="5"/>
      <c r="N205" s="171"/>
      <c r="O205" s="172"/>
      <c r="P205" s="172"/>
      <c r="Q205" s="172"/>
      <c r="R205" s="3"/>
      <c r="S205" s="3"/>
      <c r="T205" s="3"/>
      <c r="U205" s="3"/>
    </row>
    <row r="206" ht="14.25" customHeight="1">
      <c r="A206" s="170"/>
      <c r="F206" s="3"/>
      <c r="G206" s="5"/>
      <c r="H206" s="5"/>
      <c r="I206" s="5"/>
      <c r="J206" s="4"/>
      <c r="K206" s="5"/>
      <c r="L206" s="5"/>
      <c r="M206" s="5"/>
      <c r="N206" s="171"/>
      <c r="O206" s="172"/>
      <c r="P206" s="172"/>
      <c r="Q206" s="172"/>
      <c r="R206" s="3"/>
      <c r="S206" s="3"/>
      <c r="T206" s="3"/>
      <c r="U206" s="3"/>
    </row>
    <row r="207" ht="14.25" customHeight="1">
      <c r="A207" s="170"/>
      <c r="F207" s="3"/>
      <c r="G207" s="5"/>
      <c r="H207" s="5"/>
      <c r="I207" s="5"/>
      <c r="J207" s="4"/>
      <c r="K207" s="5"/>
      <c r="L207" s="5"/>
      <c r="M207" s="5"/>
      <c r="N207" s="171"/>
      <c r="O207" s="172"/>
      <c r="P207" s="172"/>
      <c r="Q207" s="172"/>
      <c r="R207" s="3"/>
      <c r="S207" s="3"/>
      <c r="T207" s="3"/>
      <c r="U207" s="3"/>
    </row>
    <row r="208" ht="14.25" customHeight="1">
      <c r="A208" s="170"/>
      <c r="F208" s="3"/>
      <c r="G208" s="5"/>
      <c r="H208" s="5"/>
      <c r="I208" s="5"/>
      <c r="J208" s="4"/>
      <c r="K208" s="5"/>
      <c r="L208" s="5"/>
      <c r="M208" s="5"/>
      <c r="N208" s="171"/>
      <c r="O208" s="172"/>
      <c r="P208" s="172"/>
      <c r="Q208" s="172"/>
      <c r="R208" s="3"/>
      <c r="S208" s="3"/>
      <c r="T208" s="3"/>
      <c r="U208" s="3"/>
    </row>
    <row r="209" ht="14.25" customHeight="1">
      <c r="A209" s="170"/>
      <c r="F209" s="3"/>
      <c r="G209" s="5"/>
      <c r="H209" s="5"/>
      <c r="I209" s="5"/>
      <c r="J209" s="4"/>
      <c r="K209" s="5"/>
      <c r="L209" s="5"/>
      <c r="M209" s="5"/>
      <c r="N209" s="171"/>
      <c r="O209" s="172"/>
      <c r="P209" s="172"/>
      <c r="Q209" s="172"/>
      <c r="R209" s="3"/>
      <c r="S209" s="3"/>
      <c r="T209" s="3"/>
      <c r="U209" s="3"/>
    </row>
    <row r="210" ht="14.25" customHeight="1">
      <c r="A210" s="170"/>
      <c r="F210" s="3"/>
      <c r="G210" s="5"/>
      <c r="H210" s="5"/>
      <c r="I210" s="5"/>
      <c r="J210" s="4"/>
      <c r="K210" s="5"/>
      <c r="L210" s="5"/>
      <c r="M210" s="5"/>
      <c r="N210" s="171"/>
      <c r="O210" s="172"/>
      <c r="P210" s="172"/>
      <c r="Q210" s="172"/>
      <c r="R210" s="3"/>
      <c r="S210" s="3"/>
      <c r="T210" s="3"/>
      <c r="U210" s="3"/>
    </row>
    <row r="211" ht="14.25" customHeight="1">
      <c r="A211" s="170"/>
      <c r="F211" s="3"/>
      <c r="G211" s="5"/>
      <c r="H211" s="5"/>
      <c r="I211" s="5"/>
      <c r="J211" s="4"/>
      <c r="K211" s="5"/>
      <c r="L211" s="5"/>
      <c r="M211" s="5"/>
      <c r="N211" s="171"/>
      <c r="O211" s="172"/>
      <c r="P211" s="172"/>
      <c r="Q211" s="172"/>
      <c r="R211" s="3"/>
      <c r="S211" s="3"/>
      <c r="T211" s="3"/>
      <c r="U211" s="3"/>
    </row>
    <row r="212" ht="14.25" customHeight="1">
      <c r="A212" s="170"/>
      <c r="F212" s="3"/>
      <c r="G212" s="5"/>
      <c r="H212" s="5"/>
      <c r="I212" s="5"/>
      <c r="J212" s="4"/>
      <c r="K212" s="5"/>
      <c r="L212" s="5"/>
      <c r="M212" s="5"/>
      <c r="N212" s="171"/>
      <c r="O212" s="172"/>
      <c r="P212" s="172"/>
      <c r="Q212" s="172"/>
      <c r="R212" s="3"/>
      <c r="S212" s="3"/>
      <c r="T212" s="3"/>
      <c r="U212" s="3"/>
    </row>
    <row r="213" ht="14.25" customHeight="1">
      <c r="A213" s="170"/>
      <c r="F213" s="3"/>
      <c r="G213" s="5"/>
      <c r="H213" s="5"/>
      <c r="I213" s="5"/>
      <c r="J213" s="4"/>
      <c r="K213" s="5"/>
      <c r="L213" s="5"/>
      <c r="M213" s="5"/>
      <c r="N213" s="171"/>
      <c r="O213" s="172"/>
      <c r="P213" s="172"/>
      <c r="Q213" s="172"/>
      <c r="R213" s="3"/>
      <c r="S213" s="3"/>
      <c r="T213" s="3"/>
      <c r="U213" s="3"/>
    </row>
    <row r="214" ht="14.25" customHeight="1">
      <c r="A214" s="170"/>
      <c r="F214" s="3"/>
      <c r="G214" s="5"/>
      <c r="H214" s="5"/>
      <c r="I214" s="5"/>
      <c r="J214" s="4"/>
      <c r="K214" s="5"/>
      <c r="L214" s="5"/>
      <c r="M214" s="5"/>
      <c r="N214" s="171"/>
      <c r="O214" s="172"/>
      <c r="P214" s="172"/>
      <c r="Q214" s="172"/>
      <c r="R214" s="3"/>
      <c r="S214" s="3"/>
      <c r="T214" s="3"/>
      <c r="U214" s="3"/>
    </row>
    <row r="215" ht="14.25" customHeight="1">
      <c r="A215" s="170"/>
      <c r="F215" s="3"/>
      <c r="G215" s="5"/>
      <c r="H215" s="5"/>
      <c r="I215" s="5"/>
      <c r="J215" s="4"/>
      <c r="K215" s="5"/>
      <c r="L215" s="5"/>
      <c r="M215" s="5"/>
      <c r="N215" s="171"/>
      <c r="O215" s="172"/>
      <c r="P215" s="172"/>
      <c r="Q215" s="172"/>
      <c r="R215" s="3"/>
      <c r="S215" s="3"/>
      <c r="T215" s="3"/>
      <c r="U215" s="3"/>
    </row>
    <row r="216" ht="14.25" customHeight="1">
      <c r="A216" s="170"/>
      <c r="F216" s="3"/>
      <c r="G216" s="5"/>
      <c r="H216" s="5"/>
      <c r="I216" s="5"/>
      <c r="J216" s="4"/>
      <c r="K216" s="5"/>
      <c r="L216" s="5"/>
      <c r="M216" s="5"/>
      <c r="N216" s="171"/>
      <c r="O216" s="172"/>
      <c r="P216" s="172"/>
      <c r="Q216" s="172"/>
      <c r="R216" s="3"/>
      <c r="S216" s="3"/>
      <c r="T216" s="3"/>
      <c r="U216" s="3"/>
    </row>
    <row r="217" ht="14.25" customHeight="1">
      <c r="A217" s="170"/>
      <c r="F217" s="3"/>
      <c r="G217" s="5"/>
      <c r="H217" s="5"/>
      <c r="I217" s="5"/>
      <c r="J217" s="4"/>
      <c r="K217" s="5"/>
      <c r="L217" s="5"/>
      <c r="M217" s="5"/>
      <c r="N217" s="171"/>
      <c r="O217" s="172"/>
      <c r="P217" s="172"/>
      <c r="Q217" s="172"/>
      <c r="R217" s="3"/>
      <c r="S217" s="3"/>
      <c r="T217" s="3"/>
      <c r="U217" s="3"/>
    </row>
    <row r="218" ht="14.25" customHeight="1">
      <c r="A218" s="170"/>
      <c r="F218" s="3"/>
      <c r="G218" s="5"/>
      <c r="H218" s="5"/>
      <c r="I218" s="5"/>
      <c r="J218" s="4"/>
      <c r="K218" s="5"/>
      <c r="L218" s="5"/>
      <c r="M218" s="5"/>
      <c r="N218" s="171"/>
      <c r="O218" s="172"/>
      <c r="P218" s="172"/>
      <c r="Q218" s="172"/>
      <c r="R218" s="3"/>
      <c r="S218" s="3"/>
      <c r="T218" s="3"/>
      <c r="U218" s="3"/>
    </row>
    <row r="219" ht="14.25" customHeight="1">
      <c r="A219" s="170"/>
      <c r="B219" s="173"/>
      <c r="C219" s="174"/>
      <c r="D219" s="175"/>
      <c r="E219" s="176"/>
      <c r="F219" s="5"/>
      <c r="G219" s="5"/>
      <c r="H219" s="5"/>
      <c r="I219" s="5"/>
      <c r="J219" s="4"/>
      <c r="K219" s="5"/>
      <c r="L219" s="5"/>
      <c r="M219" s="5"/>
      <c r="N219" s="171"/>
      <c r="O219" s="172"/>
      <c r="P219" s="172"/>
      <c r="Q219" s="172"/>
      <c r="R219" s="3"/>
      <c r="S219" s="3"/>
    </row>
    <row r="220" ht="14.25" customHeight="1">
      <c r="A220" s="3" t="s">
        <v>3</v>
      </c>
      <c r="B220" s="3"/>
      <c r="C220" s="3"/>
      <c r="D220" s="3"/>
      <c r="E220" s="176"/>
      <c r="F220" s="5"/>
      <c r="G220" s="5"/>
      <c r="H220" s="5"/>
      <c r="I220" s="5"/>
      <c r="J220" s="4"/>
      <c r="K220" s="5"/>
      <c r="L220" s="5"/>
      <c r="M220" s="5"/>
      <c r="N220" s="3"/>
      <c r="O220" s="3"/>
      <c r="P220" s="3"/>
      <c r="Q220" s="3"/>
      <c r="R220" s="3"/>
      <c r="S220" s="3"/>
    </row>
    <row r="221" ht="14.25" customHeight="1">
      <c r="A221" s="3" t="s">
        <v>4</v>
      </c>
      <c r="B221" s="3"/>
      <c r="C221" s="3"/>
      <c r="D221" s="3"/>
      <c r="E221" s="177"/>
      <c r="F221" s="5"/>
      <c r="G221" s="5"/>
      <c r="H221" s="5"/>
      <c r="I221" s="5"/>
      <c r="J221" s="4"/>
      <c r="K221" s="5"/>
      <c r="L221" s="5"/>
      <c r="M221" s="5"/>
      <c r="N221" s="3"/>
      <c r="O221" s="3"/>
      <c r="P221" s="3"/>
      <c r="Q221" s="3"/>
      <c r="R221" s="3"/>
      <c r="S221" s="3"/>
    </row>
    <row r="222" ht="14.25" customHeight="1">
      <c r="A222" s="162"/>
      <c r="B222" s="178"/>
      <c r="C222" s="178"/>
      <c r="D222" s="179"/>
      <c r="E222" s="177"/>
      <c r="F222" s="5"/>
      <c r="G222" s="5"/>
      <c r="H222" s="5"/>
      <c r="I222" s="5"/>
      <c r="J222" s="4"/>
      <c r="K222" s="5"/>
      <c r="L222" s="5"/>
      <c r="M222" s="5"/>
      <c r="N222" s="3"/>
      <c r="O222" s="3"/>
      <c r="P222" s="3"/>
      <c r="Q222" s="3"/>
      <c r="R222" s="3"/>
      <c r="S222" s="3"/>
    </row>
    <row r="223" ht="14.25" customHeight="1">
      <c r="A223" s="2" t="s">
        <v>2</v>
      </c>
    </row>
    <row r="224" ht="14.25" customHeight="1">
      <c r="A224" s="8" t="s">
        <v>297</v>
      </c>
    </row>
    <row r="225" ht="14.25" customHeight="1">
      <c r="A225" s="12" t="s">
        <v>252</v>
      </c>
    </row>
    <row r="226" ht="14.25" customHeight="1">
      <c r="A226" s="88" t="s">
        <v>8</v>
      </c>
      <c r="B226" s="88" t="s">
        <v>9</v>
      </c>
      <c r="C226" s="89" t="s">
        <v>10</v>
      </c>
      <c r="D226" s="90" t="s">
        <v>11</v>
      </c>
      <c r="E226" s="91" t="s">
        <v>12</v>
      </c>
      <c r="F226" s="180" t="s">
        <v>13</v>
      </c>
      <c r="G226" s="181"/>
      <c r="H226" s="181"/>
      <c r="I226" s="181"/>
      <c r="J226" s="182" t="s">
        <v>15</v>
      </c>
      <c r="K226" s="181"/>
      <c r="L226" s="181"/>
      <c r="M226" s="181"/>
      <c r="N226" s="183" t="s">
        <v>17</v>
      </c>
      <c r="O226" s="184"/>
      <c r="P226" s="184"/>
      <c r="Q226" s="184"/>
      <c r="R226" s="52" t="s">
        <v>18</v>
      </c>
      <c r="S226" s="16"/>
      <c r="T226" s="16"/>
      <c r="U226" s="128"/>
    </row>
    <row r="227" ht="14.25" customHeight="1">
      <c r="A227" s="22"/>
      <c r="B227" s="22"/>
      <c r="C227" s="22"/>
      <c r="D227" s="22"/>
      <c r="E227" s="22"/>
      <c r="F227" s="25" t="s">
        <v>20</v>
      </c>
      <c r="G227" s="25" t="s">
        <v>21</v>
      </c>
      <c r="H227" s="25" t="s">
        <v>22</v>
      </c>
      <c r="I227" s="25" t="s">
        <v>23</v>
      </c>
      <c r="J227" s="25" t="s">
        <v>20</v>
      </c>
      <c r="K227" s="25" t="s">
        <v>21</v>
      </c>
      <c r="L227" s="25" t="s">
        <v>22</v>
      </c>
      <c r="M227" s="25" t="s">
        <v>23</v>
      </c>
      <c r="N227" s="25" t="s">
        <v>20</v>
      </c>
      <c r="O227" s="25" t="s">
        <v>21</v>
      </c>
      <c r="P227" s="25" t="s">
        <v>22</v>
      </c>
      <c r="Q227" s="25" t="s">
        <v>23</v>
      </c>
      <c r="R227" s="25" t="s">
        <v>20</v>
      </c>
      <c r="S227" s="25" t="s">
        <v>21</v>
      </c>
      <c r="T227" s="25" t="s">
        <v>22</v>
      </c>
      <c r="U227" s="25" t="s">
        <v>23</v>
      </c>
    </row>
    <row r="228" ht="14.25" customHeight="1">
      <c r="A228" s="129">
        <v>1.0</v>
      </c>
      <c r="B228" s="100">
        <v>6461.0</v>
      </c>
      <c r="C228" s="100">
        <v>5391.0</v>
      </c>
      <c r="D228" s="101" t="s">
        <v>298</v>
      </c>
      <c r="E228" s="102" t="s">
        <v>299</v>
      </c>
      <c r="F228" s="103">
        <v>1058.0</v>
      </c>
      <c r="G228" s="37">
        <v>1058.0</v>
      </c>
      <c r="H228" s="37">
        <v>1058.0</v>
      </c>
      <c r="I228" s="37">
        <v>10575.0</v>
      </c>
      <c r="J228" s="37"/>
      <c r="K228" s="37"/>
      <c r="L228" s="37"/>
      <c r="M228" s="37">
        <v>13775.0</v>
      </c>
      <c r="N228" s="130"/>
      <c r="O228" s="37"/>
      <c r="P228" s="37"/>
      <c r="Q228" s="37">
        <v>15975.0</v>
      </c>
      <c r="R228" s="131">
        <v>19995.0</v>
      </c>
      <c r="S228" s="37"/>
      <c r="T228" s="37"/>
      <c r="U228" s="37">
        <f t="shared" ref="U228:U238" si="14">Q228*110%</f>
        <v>17572.5</v>
      </c>
    </row>
    <row r="229" ht="14.25" customHeight="1">
      <c r="A229" s="129">
        <v>2.0</v>
      </c>
      <c r="B229" s="100">
        <v>6816.0</v>
      </c>
      <c r="C229" s="100">
        <v>5663.0</v>
      </c>
      <c r="D229" s="101" t="s">
        <v>300</v>
      </c>
      <c r="E229" s="102" t="s">
        <v>301</v>
      </c>
      <c r="F229" s="103">
        <v>1058.0</v>
      </c>
      <c r="G229" s="37">
        <v>1058.0</v>
      </c>
      <c r="H229" s="37">
        <v>1058.0</v>
      </c>
      <c r="I229" s="37">
        <v>10575.0</v>
      </c>
      <c r="J229" s="37"/>
      <c r="K229" s="37"/>
      <c r="L229" s="37"/>
      <c r="M229" s="37">
        <v>13775.0</v>
      </c>
      <c r="N229" s="130"/>
      <c r="O229" s="37"/>
      <c r="P229" s="37"/>
      <c r="Q229" s="37">
        <v>15975.0</v>
      </c>
      <c r="R229" s="131">
        <v>19995.0</v>
      </c>
      <c r="S229" s="37"/>
      <c r="T229" s="37"/>
      <c r="U229" s="37">
        <f t="shared" si="14"/>
        <v>17572.5</v>
      </c>
    </row>
    <row r="230" ht="14.25" customHeight="1">
      <c r="A230" s="129">
        <v>3.0</v>
      </c>
      <c r="B230" s="100">
        <v>6841.0</v>
      </c>
      <c r="C230" s="100">
        <v>5679.0</v>
      </c>
      <c r="D230" s="101" t="s">
        <v>302</v>
      </c>
      <c r="E230" s="102" t="s">
        <v>303</v>
      </c>
      <c r="F230" s="142">
        <v>1358.0</v>
      </c>
      <c r="G230" s="142">
        <v>1358.0</v>
      </c>
      <c r="H230" s="142">
        <v>1358.0</v>
      </c>
      <c r="I230" s="185">
        <v>13749.0</v>
      </c>
      <c r="J230" s="37"/>
      <c r="K230" s="37"/>
      <c r="L230" s="37"/>
      <c r="M230" s="37">
        <v>13775.0</v>
      </c>
      <c r="N230" s="130" t="s">
        <v>187</v>
      </c>
      <c r="O230" s="37"/>
      <c r="P230" s="37"/>
      <c r="Q230" s="186">
        <v>4792.0</v>
      </c>
      <c r="R230" s="131">
        <v>19995.0</v>
      </c>
      <c r="S230" s="37"/>
      <c r="T230" s="37"/>
      <c r="U230" s="37">
        <f t="shared" si="14"/>
        <v>5271.2</v>
      </c>
    </row>
    <row r="231" ht="14.25" customHeight="1">
      <c r="A231" s="129">
        <v>4.0</v>
      </c>
      <c r="B231" s="100">
        <v>7420.0</v>
      </c>
      <c r="C231" s="100">
        <v>6126.0</v>
      </c>
      <c r="D231" s="101" t="s">
        <v>304</v>
      </c>
      <c r="E231" s="102" t="s">
        <v>305</v>
      </c>
      <c r="F231" s="103"/>
      <c r="G231" s="103"/>
      <c r="H231" s="103"/>
      <c r="I231" s="37">
        <v>19546.0</v>
      </c>
      <c r="J231" s="37"/>
      <c r="K231" s="37"/>
      <c r="L231" s="37"/>
      <c r="M231" s="104">
        <f>SUM(J231:L231)</f>
        <v>0</v>
      </c>
      <c r="N231" s="130"/>
      <c r="O231" s="37"/>
      <c r="P231" s="37"/>
      <c r="Q231" s="37">
        <v>19975.0</v>
      </c>
      <c r="R231" s="131">
        <v>19995.0</v>
      </c>
      <c r="S231" s="37"/>
      <c r="T231" s="37"/>
      <c r="U231" s="37">
        <f t="shared" si="14"/>
        <v>21972.5</v>
      </c>
    </row>
    <row r="232" ht="14.25" customHeight="1">
      <c r="A232" s="129">
        <v>5.0</v>
      </c>
      <c r="B232" s="187">
        <v>6393.0</v>
      </c>
      <c r="C232" s="100">
        <v>5339.0</v>
      </c>
      <c r="D232" s="101" t="s">
        <v>306</v>
      </c>
      <c r="E232" s="188" t="s">
        <v>307</v>
      </c>
      <c r="F232" s="103">
        <v>1058.0</v>
      </c>
      <c r="G232" s="37">
        <v>1058.0</v>
      </c>
      <c r="H232" s="37">
        <v>1058.0</v>
      </c>
      <c r="I232" s="37">
        <v>10575.0</v>
      </c>
      <c r="J232" s="37"/>
      <c r="K232" s="37"/>
      <c r="L232" s="37"/>
      <c r="M232" s="37">
        <v>15175.0</v>
      </c>
      <c r="N232" s="130"/>
      <c r="O232" s="37"/>
      <c r="P232" s="37"/>
      <c r="Q232" s="37">
        <v>16975.0</v>
      </c>
      <c r="R232" s="131">
        <v>19995.0</v>
      </c>
      <c r="S232" s="37"/>
      <c r="T232" s="37"/>
      <c r="U232" s="37">
        <f t="shared" si="14"/>
        <v>18672.5</v>
      </c>
    </row>
    <row r="233" ht="14.25" customHeight="1">
      <c r="A233" s="129">
        <v>6.0</v>
      </c>
      <c r="B233" s="100">
        <v>7245.0</v>
      </c>
      <c r="C233" s="100">
        <v>5973.0</v>
      </c>
      <c r="D233" s="101" t="s">
        <v>234</v>
      </c>
      <c r="E233" s="102" t="s">
        <v>308</v>
      </c>
      <c r="F233" s="37">
        <v>16575.0</v>
      </c>
      <c r="G233" s="37"/>
      <c r="H233" s="37"/>
      <c r="I233" s="37">
        <v>12575.0</v>
      </c>
      <c r="J233" s="37"/>
      <c r="K233" s="37"/>
      <c r="L233" s="37"/>
      <c r="M233" s="37">
        <v>12575.0</v>
      </c>
      <c r="N233" s="130"/>
      <c r="O233" s="37"/>
      <c r="P233" s="37"/>
      <c r="Q233" s="37">
        <v>14975.0</v>
      </c>
      <c r="R233" s="131">
        <v>19995.0</v>
      </c>
      <c r="S233" s="37"/>
      <c r="T233" s="37"/>
      <c r="U233" s="37">
        <f t="shared" si="14"/>
        <v>16472.5</v>
      </c>
    </row>
    <row r="234" ht="14.25" customHeight="1">
      <c r="A234" s="129">
        <v>7.0</v>
      </c>
      <c r="B234" s="100">
        <v>6397.0</v>
      </c>
      <c r="C234" s="100">
        <v>5343.0</v>
      </c>
      <c r="D234" s="101" t="s">
        <v>309</v>
      </c>
      <c r="E234" s="102" t="s">
        <v>310</v>
      </c>
      <c r="F234" s="103">
        <v>1058.0</v>
      </c>
      <c r="G234" s="37">
        <v>1058.0</v>
      </c>
      <c r="H234" s="37">
        <v>1058.0</v>
      </c>
      <c r="I234" s="37">
        <v>10575.0</v>
      </c>
      <c r="J234" s="37"/>
      <c r="K234" s="37"/>
      <c r="L234" s="37"/>
      <c r="M234" s="37">
        <v>13775.0</v>
      </c>
      <c r="N234" s="130"/>
      <c r="O234" s="37"/>
      <c r="P234" s="37"/>
      <c r="Q234" s="37">
        <v>15975.0</v>
      </c>
      <c r="R234" s="131">
        <v>19995.0</v>
      </c>
      <c r="S234" s="37"/>
      <c r="T234" s="37"/>
      <c r="U234" s="37">
        <f t="shared" si="14"/>
        <v>17572.5</v>
      </c>
    </row>
    <row r="235" ht="14.25" customHeight="1">
      <c r="A235" s="129">
        <v>8.0</v>
      </c>
      <c r="B235" s="100">
        <v>6799.0</v>
      </c>
      <c r="C235" s="100">
        <v>5650.0</v>
      </c>
      <c r="D235" s="101" t="s">
        <v>311</v>
      </c>
      <c r="E235" s="102" t="s">
        <v>312</v>
      </c>
      <c r="F235" s="103">
        <v>1258.0</v>
      </c>
      <c r="G235" s="37">
        <v>1258.0</v>
      </c>
      <c r="H235" s="37">
        <v>1258.0</v>
      </c>
      <c r="I235" s="37">
        <v>12575.0</v>
      </c>
      <c r="J235" s="37"/>
      <c r="K235" s="37"/>
      <c r="L235" s="37"/>
      <c r="M235" s="37">
        <v>16575.0</v>
      </c>
      <c r="N235" s="130"/>
      <c r="O235" s="37"/>
      <c r="P235" s="37"/>
      <c r="Q235" s="37">
        <v>17975.0</v>
      </c>
      <c r="R235" s="131">
        <v>19995.0</v>
      </c>
      <c r="S235" s="37"/>
      <c r="T235" s="37"/>
      <c r="U235" s="37">
        <f t="shared" si="14"/>
        <v>19772.5</v>
      </c>
    </row>
    <row r="236" ht="14.25" customHeight="1">
      <c r="A236" s="129">
        <v>9.0</v>
      </c>
      <c r="B236" s="100">
        <v>6835.0</v>
      </c>
      <c r="C236" s="100">
        <v>5675.0</v>
      </c>
      <c r="D236" s="101" t="s">
        <v>313</v>
      </c>
      <c r="E236" s="102" t="s">
        <v>314</v>
      </c>
      <c r="F236" s="103">
        <v>1258.0</v>
      </c>
      <c r="G236" s="37">
        <v>1258.0</v>
      </c>
      <c r="H236" s="37">
        <v>1258.0</v>
      </c>
      <c r="I236" s="37">
        <v>12575.0</v>
      </c>
      <c r="J236" s="37"/>
      <c r="K236" s="37"/>
      <c r="L236" s="37"/>
      <c r="M236" s="37">
        <v>16575.0</v>
      </c>
      <c r="N236" s="130"/>
      <c r="O236" s="37"/>
      <c r="P236" s="37"/>
      <c r="Q236" s="37">
        <v>17975.0</v>
      </c>
      <c r="R236" s="131">
        <v>19995.0</v>
      </c>
      <c r="S236" s="37"/>
      <c r="T236" s="37"/>
      <c r="U236" s="37">
        <f t="shared" si="14"/>
        <v>19772.5</v>
      </c>
    </row>
    <row r="237" ht="14.25" customHeight="1">
      <c r="A237" s="129">
        <v>10.0</v>
      </c>
      <c r="B237" s="100">
        <v>6928.0</v>
      </c>
      <c r="C237" s="100">
        <v>5734.0</v>
      </c>
      <c r="D237" s="101" t="s">
        <v>315</v>
      </c>
      <c r="E237" s="102" t="s">
        <v>316</v>
      </c>
      <c r="F237" s="103">
        <v>1158.0</v>
      </c>
      <c r="G237" s="37">
        <v>1158.0</v>
      </c>
      <c r="H237" s="37">
        <v>1158.0</v>
      </c>
      <c r="I237" s="37">
        <v>11575.0</v>
      </c>
      <c r="J237" s="37"/>
      <c r="K237" s="37"/>
      <c r="L237" s="37"/>
      <c r="M237" s="37">
        <v>15075.0</v>
      </c>
      <c r="N237" s="130"/>
      <c r="O237" s="37"/>
      <c r="P237" s="37"/>
      <c r="Q237" s="37">
        <v>16975.0</v>
      </c>
      <c r="R237" s="131">
        <v>19995.0</v>
      </c>
      <c r="S237" s="37"/>
      <c r="T237" s="37"/>
      <c r="U237" s="37">
        <f t="shared" si="14"/>
        <v>18672.5</v>
      </c>
    </row>
    <row r="238" ht="14.25" customHeight="1">
      <c r="A238" s="129">
        <v>11.0</v>
      </c>
      <c r="B238" s="100">
        <v>7129.0</v>
      </c>
      <c r="C238" s="100">
        <v>5891.0</v>
      </c>
      <c r="D238" s="101" t="s">
        <v>317</v>
      </c>
      <c r="E238" s="102" t="s">
        <v>318</v>
      </c>
      <c r="F238" s="103">
        <v>15550.0</v>
      </c>
      <c r="G238" s="37">
        <v>15550.0</v>
      </c>
      <c r="H238" s="37">
        <v>15550.0</v>
      </c>
      <c r="I238" s="37">
        <v>15550.0</v>
      </c>
      <c r="J238" s="37"/>
      <c r="K238" s="37"/>
      <c r="L238" s="37"/>
      <c r="M238" s="37">
        <v>15575.0</v>
      </c>
      <c r="N238" s="130"/>
      <c r="O238" s="37"/>
      <c r="P238" s="37"/>
      <c r="Q238" s="37">
        <v>16975.0</v>
      </c>
      <c r="R238" s="131">
        <v>19995.0</v>
      </c>
      <c r="S238" s="37"/>
      <c r="T238" s="37"/>
      <c r="U238" s="37">
        <f t="shared" si="14"/>
        <v>18672.5</v>
      </c>
    </row>
    <row r="239" ht="14.25" customHeight="1">
      <c r="A239" s="129">
        <v>12.0</v>
      </c>
      <c r="B239" s="100">
        <v>6898.0</v>
      </c>
      <c r="C239" s="100">
        <v>5714.0</v>
      </c>
      <c r="D239" s="189" t="s">
        <v>319</v>
      </c>
      <c r="E239" s="102" t="s">
        <v>320</v>
      </c>
      <c r="F239" s="103" t="s">
        <v>56</v>
      </c>
      <c r="G239" s="103" t="s">
        <v>56</v>
      </c>
      <c r="H239" s="103" t="s">
        <v>56</v>
      </c>
      <c r="I239" s="103" t="s">
        <v>56</v>
      </c>
      <c r="J239" s="103" t="s">
        <v>56</v>
      </c>
      <c r="K239" s="103" t="s">
        <v>56</v>
      </c>
      <c r="L239" s="103" t="s">
        <v>56</v>
      </c>
      <c r="M239" s="103" t="s">
        <v>56</v>
      </c>
      <c r="N239" s="37"/>
      <c r="O239" s="37"/>
      <c r="P239" s="37"/>
      <c r="Q239" s="103" t="s">
        <v>56</v>
      </c>
      <c r="R239" s="37"/>
      <c r="S239" s="37"/>
      <c r="T239" s="37"/>
      <c r="U239" s="37"/>
    </row>
    <row r="240" ht="14.25" customHeight="1">
      <c r="A240" s="129">
        <v>13.0</v>
      </c>
      <c r="B240" s="100">
        <v>6543.0</v>
      </c>
      <c r="C240" s="100">
        <v>5442.0</v>
      </c>
      <c r="D240" s="189" t="s">
        <v>321</v>
      </c>
      <c r="E240" s="102" t="s">
        <v>322</v>
      </c>
      <c r="F240" s="103" t="s">
        <v>56</v>
      </c>
      <c r="G240" s="103" t="s">
        <v>56</v>
      </c>
      <c r="H240" s="103" t="s">
        <v>56</v>
      </c>
      <c r="I240" s="103" t="s">
        <v>56</v>
      </c>
      <c r="J240" s="103" t="s">
        <v>56</v>
      </c>
      <c r="K240" s="103" t="s">
        <v>56</v>
      </c>
      <c r="L240" s="103" t="s">
        <v>56</v>
      </c>
      <c r="M240" s="103" t="s">
        <v>56</v>
      </c>
      <c r="N240" s="37"/>
      <c r="O240" s="37"/>
      <c r="P240" s="37"/>
      <c r="Q240" s="103" t="s">
        <v>56</v>
      </c>
      <c r="R240" s="37"/>
      <c r="S240" s="37"/>
      <c r="T240" s="37"/>
      <c r="U240" s="37"/>
    </row>
    <row r="241" ht="14.25" customHeight="1">
      <c r="A241" s="129">
        <v>14.0</v>
      </c>
      <c r="B241" s="100">
        <v>7132.0</v>
      </c>
      <c r="C241" s="100">
        <v>5892.0</v>
      </c>
      <c r="D241" s="190" t="s">
        <v>323</v>
      </c>
      <c r="E241" s="102" t="s">
        <v>324</v>
      </c>
      <c r="F241" s="130">
        <v>12550.0</v>
      </c>
      <c r="G241" s="130">
        <v>12550.0</v>
      </c>
      <c r="H241" s="130">
        <v>12550.0</v>
      </c>
      <c r="I241" s="130">
        <v>12550.0</v>
      </c>
      <c r="J241" s="130"/>
      <c r="K241" s="130"/>
      <c r="L241" s="130"/>
      <c r="M241" s="130">
        <v>13875.0</v>
      </c>
      <c r="N241" s="37"/>
      <c r="O241" s="37"/>
      <c r="P241" s="37"/>
      <c r="Q241" s="37">
        <v>15975.0</v>
      </c>
      <c r="R241" s="131">
        <v>19995.0</v>
      </c>
      <c r="S241" s="37"/>
      <c r="T241" s="37"/>
      <c r="U241" s="37">
        <f t="shared" ref="U241:U242" si="15">Q241*110%</f>
        <v>17572.5</v>
      </c>
    </row>
    <row r="242" ht="14.25" customHeight="1">
      <c r="A242" s="129">
        <v>15.0</v>
      </c>
      <c r="B242" s="66">
        <v>7734.0</v>
      </c>
      <c r="C242" s="66">
        <v>6326.0</v>
      </c>
      <c r="D242" s="67" t="s">
        <v>325</v>
      </c>
      <c r="E242" s="68" t="s">
        <v>326</v>
      </c>
      <c r="F242" s="37"/>
      <c r="G242" s="37"/>
      <c r="H242" s="37"/>
      <c r="I242" s="37"/>
      <c r="J242" s="37"/>
      <c r="K242" s="37"/>
      <c r="L242" s="37"/>
      <c r="M242" s="37"/>
      <c r="N242" s="37">
        <v>19975.0</v>
      </c>
      <c r="O242" s="37"/>
      <c r="P242" s="37" t="s">
        <v>327</v>
      </c>
      <c r="Q242" s="37">
        <v>17975.0</v>
      </c>
      <c r="R242" s="131">
        <v>19995.0</v>
      </c>
      <c r="S242" s="37"/>
      <c r="T242" s="37"/>
      <c r="U242" s="37">
        <f t="shared" si="15"/>
        <v>19772.5</v>
      </c>
    </row>
    <row r="243" ht="14.25" customHeight="1">
      <c r="A243" s="88" t="s">
        <v>8</v>
      </c>
      <c r="B243" s="88" t="s">
        <v>9</v>
      </c>
      <c r="C243" s="89" t="s">
        <v>10</v>
      </c>
      <c r="D243" s="90" t="s">
        <v>11</v>
      </c>
      <c r="E243" s="91" t="s">
        <v>12</v>
      </c>
      <c r="F243" s="180" t="s">
        <v>13</v>
      </c>
      <c r="G243" s="181"/>
      <c r="H243" s="181"/>
      <c r="I243" s="181"/>
      <c r="J243" s="182" t="s">
        <v>15</v>
      </c>
      <c r="K243" s="181"/>
      <c r="L243" s="181"/>
      <c r="M243" s="181"/>
      <c r="N243" s="183" t="s">
        <v>17</v>
      </c>
      <c r="O243" s="184"/>
      <c r="P243" s="184"/>
      <c r="Q243" s="184"/>
      <c r="R243" s="52" t="s">
        <v>18</v>
      </c>
      <c r="S243" s="16"/>
      <c r="T243" s="16"/>
      <c r="U243" s="128"/>
    </row>
    <row r="244" ht="14.25" customHeight="1">
      <c r="A244" s="22"/>
      <c r="B244" s="22"/>
      <c r="C244" s="22"/>
      <c r="D244" s="22"/>
      <c r="E244" s="22"/>
      <c r="F244" s="25" t="s">
        <v>20</v>
      </c>
      <c r="G244" s="25" t="s">
        <v>21</v>
      </c>
      <c r="H244" s="25" t="s">
        <v>22</v>
      </c>
      <c r="I244" s="25" t="s">
        <v>23</v>
      </c>
      <c r="J244" s="25" t="s">
        <v>20</v>
      </c>
      <c r="K244" s="25" t="s">
        <v>21</v>
      </c>
      <c r="L244" s="25" t="s">
        <v>22</v>
      </c>
      <c r="M244" s="25" t="s">
        <v>23</v>
      </c>
      <c r="N244" s="25" t="s">
        <v>20</v>
      </c>
      <c r="O244" s="25" t="s">
        <v>21</v>
      </c>
      <c r="P244" s="25" t="s">
        <v>22</v>
      </c>
      <c r="Q244" s="25" t="s">
        <v>23</v>
      </c>
      <c r="R244" s="25" t="s">
        <v>20</v>
      </c>
      <c r="S244" s="25" t="s">
        <v>21</v>
      </c>
      <c r="T244" s="25" t="s">
        <v>22</v>
      </c>
      <c r="U244" s="25" t="s">
        <v>23</v>
      </c>
    </row>
    <row r="245" ht="14.25" customHeight="1">
      <c r="A245" s="129">
        <v>16.0</v>
      </c>
      <c r="B245" s="66">
        <v>7899.0</v>
      </c>
      <c r="C245" s="66">
        <v>6426.0</v>
      </c>
      <c r="D245" s="67" t="s">
        <v>328</v>
      </c>
      <c r="E245" s="68" t="s">
        <v>329</v>
      </c>
      <c r="F245" s="59" t="s">
        <v>26</v>
      </c>
      <c r="G245" s="59" t="s">
        <v>26</v>
      </c>
      <c r="H245" s="59" t="s">
        <v>26</v>
      </c>
      <c r="I245" s="59" t="s">
        <v>26</v>
      </c>
      <c r="J245" s="59" t="s">
        <v>26</v>
      </c>
      <c r="K245" s="59" t="s">
        <v>26</v>
      </c>
      <c r="L245" s="59" t="s">
        <v>26</v>
      </c>
      <c r="M245" s="59" t="s">
        <v>26</v>
      </c>
      <c r="N245" s="59" t="s">
        <v>26</v>
      </c>
      <c r="O245" s="59" t="s">
        <v>26</v>
      </c>
      <c r="P245" s="59" t="s">
        <v>26</v>
      </c>
      <c r="Q245" s="59" t="s">
        <v>26</v>
      </c>
      <c r="R245" s="131"/>
      <c r="S245" s="37"/>
      <c r="T245" s="37"/>
      <c r="U245" s="37">
        <v>13975.0</v>
      </c>
    </row>
    <row r="246" ht="14.25" customHeight="1">
      <c r="A246" s="129">
        <v>17.0</v>
      </c>
      <c r="B246" s="29">
        <v>7535.0</v>
      </c>
      <c r="C246" s="191">
        <v>6181.0</v>
      </c>
      <c r="D246" s="108" t="s">
        <v>330</v>
      </c>
      <c r="E246" s="45" t="s">
        <v>331</v>
      </c>
      <c r="F246" s="45" t="s">
        <v>56</v>
      </c>
      <c r="G246" s="45" t="s">
        <v>56</v>
      </c>
      <c r="H246" s="45" t="s">
        <v>56</v>
      </c>
      <c r="I246" s="45" t="s">
        <v>56</v>
      </c>
      <c r="J246" s="45" t="s">
        <v>56</v>
      </c>
      <c r="K246" s="45" t="s">
        <v>56</v>
      </c>
      <c r="L246" s="45" t="s">
        <v>56</v>
      </c>
      <c r="M246" s="45" t="s">
        <v>56</v>
      </c>
      <c r="N246" s="45" t="s">
        <v>56</v>
      </c>
      <c r="O246" s="45" t="s">
        <v>56</v>
      </c>
      <c r="P246" s="45" t="s">
        <v>56</v>
      </c>
      <c r="Q246" s="45" t="s">
        <v>56</v>
      </c>
      <c r="R246" s="37"/>
      <c r="S246" s="37"/>
      <c r="T246" s="37"/>
      <c r="U246" s="37"/>
    </row>
    <row r="247" ht="14.25" customHeight="1">
      <c r="A247" s="149">
        <v>18.0</v>
      </c>
      <c r="B247" s="83">
        <v>7872.0</v>
      </c>
      <c r="C247" s="83">
        <v>6406.0</v>
      </c>
      <c r="D247" s="192" t="s">
        <v>332</v>
      </c>
      <c r="E247" s="84" t="s">
        <v>333</v>
      </c>
      <c r="F247" s="85" t="s">
        <v>26</v>
      </c>
      <c r="G247" s="85" t="s">
        <v>26</v>
      </c>
      <c r="H247" s="85" t="s">
        <v>26</v>
      </c>
      <c r="I247" s="85" t="s">
        <v>26</v>
      </c>
      <c r="J247" s="85" t="s">
        <v>26</v>
      </c>
      <c r="K247" s="85" t="s">
        <v>26</v>
      </c>
      <c r="L247" s="85" t="s">
        <v>26</v>
      </c>
      <c r="M247" s="85" t="s">
        <v>26</v>
      </c>
      <c r="N247" s="85" t="s">
        <v>26</v>
      </c>
      <c r="O247" s="85" t="s">
        <v>26</v>
      </c>
      <c r="P247" s="85" t="s">
        <v>26</v>
      </c>
      <c r="Q247" s="85" t="s">
        <v>26</v>
      </c>
      <c r="R247" s="151">
        <v>19995.0</v>
      </c>
      <c r="S247" s="73"/>
      <c r="T247" s="73"/>
      <c r="U247" s="151">
        <v>15372.0</v>
      </c>
      <c r="V247" s="75"/>
      <c r="W247" s="75"/>
      <c r="X247" s="75"/>
      <c r="Y247" s="75"/>
    </row>
    <row r="248" ht="14.25" customHeight="1">
      <c r="A248" s="149">
        <v>19.0</v>
      </c>
      <c r="B248" s="70">
        <v>7892.0</v>
      </c>
      <c r="C248" s="193">
        <v>6412.0</v>
      </c>
      <c r="D248" s="194" t="s">
        <v>292</v>
      </c>
      <c r="E248" s="157" t="s">
        <v>334</v>
      </c>
      <c r="F248" s="85" t="s">
        <v>26</v>
      </c>
      <c r="G248" s="85" t="s">
        <v>26</v>
      </c>
      <c r="H248" s="85" t="s">
        <v>26</v>
      </c>
      <c r="I248" s="85" t="s">
        <v>26</v>
      </c>
      <c r="J248" s="85" t="s">
        <v>26</v>
      </c>
      <c r="K248" s="85" t="s">
        <v>26</v>
      </c>
      <c r="L248" s="85" t="s">
        <v>26</v>
      </c>
      <c r="M248" s="85" t="s">
        <v>26</v>
      </c>
      <c r="N248" s="85" t="s">
        <v>26</v>
      </c>
      <c r="O248" s="85" t="s">
        <v>26</v>
      </c>
      <c r="P248" s="85" t="s">
        <v>26</v>
      </c>
      <c r="Q248" s="85" t="s">
        <v>26</v>
      </c>
      <c r="R248" s="151">
        <v>19995.0</v>
      </c>
      <c r="S248" s="73"/>
      <c r="T248" s="73"/>
      <c r="U248" s="73">
        <v>13975.0</v>
      </c>
      <c r="V248" s="75"/>
      <c r="W248" s="75"/>
      <c r="X248" s="75"/>
      <c r="Y248" s="75"/>
    </row>
    <row r="249" ht="14.25" customHeight="1">
      <c r="A249" s="170"/>
      <c r="B249" s="132"/>
      <c r="C249" s="195"/>
      <c r="D249" s="196"/>
      <c r="E249" s="134"/>
      <c r="F249" s="3"/>
      <c r="G249" s="3"/>
      <c r="H249" s="3"/>
      <c r="I249" s="3"/>
      <c r="J249" s="3"/>
      <c r="K249" s="3"/>
      <c r="L249" s="3"/>
      <c r="M249" s="3"/>
      <c r="N249" s="171"/>
      <c r="O249" s="172"/>
      <c r="P249" s="172"/>
      <c r="Q249" s="172"/>
      <c r="R249" s="3"/>
      <c r="S249" s="3"/>
    </row>
    <row r="250" ht="14.25" customHeight="1">
      <c r="A250" s="170"/>
      <c r="B250" s="132"/>
      <c r="C250" s="195"/>
      <c r="D250" s="196"/>
      <c r="E250" s="134"/>
      <c r="F250" s="3"/>
      <c r="G250" s="3"/>
      <c r="H250" s="3"/>
      <c r="I250" s="3"/>
      <c r="J250" s="3"/>
      <c r="K250" s="3"/>
      <c r="L250" s="3"/>
      <c r="M250" s="3"/>
      <c r="N250" s="171"/>
      <c r="O250" s="172"/>
      <c r="P250" s="172"/>
      <c r="Q250" s="172"/>
      <c r="R250" s="3"/>
      <c r="S250" s="3"/>
    </row>
    <row r="251" ht="14.25" customHeight="1">
      <c r="A251" s="170"/>
      <c r="B251" s="132"/>
      <c r="C251" s="195"/>
      <c r="D251" s="196"/>
      <c r="E251" s="134"/>
      <c r="F251" s="3"/>
      <c r="G251" s="3"/>
      <c r="H251" s="3"/>
      <c r="I251" s="3"/>
      <c r="J251" s="3"/>
      <c r="K251" s="3"/>
      <c r="L251" s="3"/>
      <c r="M251" s="3"/>
      <c r="N251" s="171"/>
      <c r="O251" s="172"/>
      <c r="P251" s="172"/>
      <c r="Q251" s="172"/>
      <c r="R251" s="3"/>
      <c r="S251" s="3"/>
    </row>
    <row r="252" ht="14.25" customHeight="1">
      <c r="A252" s="170"/>
      <c r="B252" s="132"/>
      <c r="C252" s="195"/>
      <c r="D252" s="196"/>
      <c r="E252" s="134"/>
      <c r="F252" s="3"/>
      <c r="G252" s="3"/>
      <c r="H252" s="3"/>
      <c r="I252" s="3"/>
      <c r="J252" s="3"/>
      <c r="K252" s="3"/>
      <c r="L252" s="3"/>
      <c r="M252" s="3"/>
      <c r="N252" s="171"/>
      <c r="O252" s="172"/>
      <c r="P252" s="172"/>
      <c r="Q252" s="172"/>
      <c r="R252" s="3"/>
      <c r="S252" s="3"/>
    </row>
    <row r="253" ht="14.25" customHeight="1">
      <c r="A253" s="170"/>
      <c r="B253" s="132"/>
      <c r="C253" s="195"/>
      <c r="D253" s="196"/>
      <c r="E253" s="134"/>
      <c r="F253" s="3"/>
      <c r="G253" s="3"/>
      <c r="H253" s="3"/>
      <c r="I253" s="3"/>
      <c r="J253" s="3"/>
      <c r="K253" s="3"/>
      <c r="L253" s="3"/>
      <c r="M253" s="3"/>
      <c r="N253" s="171"/>
      <c r="O253" s="172"/>
      <c r="P253" s="172"/>
      <c r="Q253" s="172"/>
      <c r="R253" s="3"/>
      <c r="S253" s="3"/>
    </row>
    <row r="254" ht="14.25" customHeight="1">
      <c r="A254" s="170"/>
      <c r="B254" s="132"/>
      <c r="C254" s="195"/>
      <c r="D254" s="196"/>
      <c r="E254" s="134"/>
      <c r="F254" s="3"/>
      <c r="G254" s="3"/>
      <c r="H254" s="3"/>
      <c r="I254" s="3"/>
      <c r="J254" s="3"/>
      <c r="K254" s="3"/>
      <c r="L254" s="3"/>
      <c r="M254" s="3"/>
      <c r="N254" s="171"/>
      <c r="O254" s="172"/>
      <c r="P254" s="172"/>
      <c r="Q254" s="172"/>
      <c r="R254" s="3"/>
      <c r="S254" s="3"/>
    </row>
    <row r="255" ht="14.25" customHeight="1">
      <c r="A255" s="170"/>
      <c r="B255" s="132"/>
      <c r="C255" s="195"/>
      <c r="D255" s="196"/>
      <c r="E255" s="134"/>
      <c r="F255" s="3"/>
      <c r="G255" s="3"/>
      <c r="H255" s="3"/>
      <c r="I255" s="3"/>
      <c r="J255" s="3"/>
      <c r="K255" s="3"/>
      <c r="L255" s="3"/>
      <c r="M255" s="3"/>
      <c r="N255" s="171"/>
      <c r="O255" s="172"/>
      <c r="P255" s="172"/>
      <c r="Q255" s="172"/>
      <c r="R255" s="3"/>
      <c r="S255" s="3"/>
    </row>
    <row r="256" ht="14.25" customHeight="1">
      <c r="A256" s="170"/>
      <c r="B256" s="132"/>
      <c r="C256" s="195"/>
      <c r="D256" s="196"/>
      <c r="E256" s="134"/>
      <c r="F256" s="3"/>
      <c r="G256" s="3"/>
      <c r="H256" s="3"/>
      <c r="I256" s="3"/>
      <c r="J256" s="3"/>
      <c r="K256" s="3"/>
      <c r="L256" s="3"/>
      <c r="M256" s="3"/>
      <c r="N256" s="171"/>
      <c r="O256" s="172"/>
      <c r="P256" s="172"/>
      <c r="Q256" s="172"/>
      <c r="R256" s="3"/>
      <c r="S256" s="3"/>
    </row>
    <row r="257" ht="14.25" customHeight="1">
      <c r="A257" s="170"/>
      <c r="B257" s="132"/>
      <c r="C257" s="195"/>
      <c r="D257" s="196"/>
      <c r="E257" s="134"/>
      <c r="F257" s="3"/>
      <c r="G257" s="3"/>
      <c r="H257" s="3"/>
      <c r="I257" s="3"/>
      <c r="J257" s="3"/>
      <c r="K257" s="3"/>
      <c r="L257" s="3"/>
      <c r="M257" s="3"/>
      <c r="N257" s="171"/>
      <c r="O257" s="172"/>
      <c r="P257" s="172"/>
      <c r="Q257" s="172"/>
      <c r="R257" s="3"/>
      <c r="S257" s="3"/>
    </row>
    <row r="258" ht="14.25" customHeight="1">
      <c r="A258" s="170"/>
      <c r="B258" s="132"/>
      <c r="C258" s="195"/>
      <c r="D258" s="196"/>
      <c r="E258" s="134"/>
      <c r="F258" s="3"/>
      <c r="G258" s="3"/>
      <c r="H258" s="3"/>
      <c r="I258" s="3"/>
      <c r="J258" s="3"/>
      <c r="K258" s="3"/>
      <c r="L258" s="3"/>
      <c r="M258" s="3"/>
      <c r="N258" s="171"/>
      <c r="O258" s="172"/>
      <c r="P258" s="172"/>
      <c r="Q258" s="172"/>
      <c r="R258" s="3"/>
      <c r="S258" s="3"/>
    </row>
    <row r="259" ht="14.25" customHeight="1">
      <c r="A259" s="170"/>
      <c r="B259" s="132"/>
      <c r="C259" s="195"/>
      <c r="D259" s="196"/>
      <c r="E259" s="134"/>
      <c r="F259" s="3"/>
      <c r="G259" s="3"/>
      <c r="H259" s="3"/>
      <c r="I259" s="3"/>
      <c r="J259" s="3"/>
      <c r="K259" s="3"/>
      <c r="L259" s="3"/>
      <c r="M259" s="3"/>
      <c r="N259" s="171"/>
      <c r="O259" s="172"/>
      <c r="P259" s="172"/>
      <c r="Q259" s="172"/>
      <c r="R259" s="3"/>
      <c r="S259" s="3"/>
    </row>
    <row r="260" ht="14.25" customHeight="1">
      <c r="A260" s="170"/>
      <c r="B260" s="132"/>
      <c r="C260" s="195"/>
      <c r="D260" s="196"/>
      <c r="E260" s="134"/>
      <c r="F260" s="3"/>
      <c r="G260" s="3"/>
      <c r="H260" s="3"/>
      <c r="I260" s="3"/>
      <c r="J260" s="3"/>
      <c r="K260" s="3"/>
      <c r="L260" s="3"/>
      <c r="M260" s="3"/>
      <c r="N260" s="171"/>
      <c r="O260" s="172"/>
      <c r="P260" s="172"/>
      <c r="Q260" s="172"/>
      <c r="R260" s="3"/>
      <c r="S260" s="3"/>
    </row>
    <row r="261" ht="14.25" customHeight="1">
      <c r="A261" s="170"/>
      <c r="B261" s="132"/>
      <c r="C261" s="195"/>
      <c r="D261" s="196"/>
      <c r="E261" s="134"/>
      <c r="F261" s="3"/>
      <c r="G261" s="3"/>
      <c r="H261" s="3"/>
      <c r="I261" s="3"/>
      <c r="J261" s="3"/>
      <c r="K261" s="3"/>
      <c r="L261" s="3"/>
      <c r="M261" s="3"/>
      <c r="N261" s="171"/>
      <c r="O261" s="172"/>
      <c r="P261" s="172"/>
      <c r="Q261" s="172"/>
      <c r="R261" s="3"/>
      <c r="S261" s="3"/>
    </row>
    <row r="262" ht="14.25" customHeight="1">
      <c r="A262" s="170"/>
      <c r="B262" s="132"/>
      <c r="C262" s="195"/>
      <c r="D262" s="196"/>
      <c r="E262" s="134"/>
      <c r="F262" s="3"/>
      <c r="G262" s="3"/>
      <c r="H262" s="3"/>
      <c r="I262" s="3"/>
      <c r="J262" s="3"/>
      <c r="K262" s="3"/>
      <c r="L262" s="3"/>
      <c r="M262" s="3"/>
      <c r="N262" s="171"/>
      <c r="O262" s="172"/>
      <c r="P262" s="172"/>
      <c r="Q262" s="172"/>
      <c r="R262" s="3"/>
      <c r="S262" s="3"/>
    </row>
    <row r="263" ht="14.25" customHeight="1">
      <c r="A263" s="170"/>
      <c r="B263" s="132"/>
      <c r="C263" s="195"/>
      <c r="D263" s="196"/>
      <c r="E263" s="134"/>
      <c r="F263" s="3"/>
      <c r="G263" s="3"/>
      <c r="H263" s="3"/>
      <c r="I263" s="3"/>
      <c r="J263" s="3"/>
      <c r="K263" s="3"/>
      <c r="L263" s="3"/>
      <c r="M263" s="3"/>
      <c r="N263" s="171"/>
      <c r="O263" s="172"/>
      <c r="P263" s="172"/>
      <c r="Q263" s="172"/>
      <c r="R263" s="3"/>
      <c r="S263" s="3"/>
    </row>
    <row r="264" ht="14.25" customHeight="1">
      <c r="A264" s="170"/>
      <c r="B264" s="132"/>
      <c r="C264" s="195"/>
      <c r="D264" s="196"/>
      <c r="E264" s="134"/>
      <c r="F264" s="3"/>
      <c r="G264" s="3"/>
      <c r="H264" s="3"/>
      <c r="I264" s="3"/>
      <c r="J264" s="3"/>
      <c r="K264" s="3"/>
      <c r="L264" s="3"/>
      <c r="M264" s="3"/>
      <c r="N264" s="171"/>
      <c r="O264" s="172"/>
      <c r="P264" s="172"/>
      <c r="Q264" s="172"/>
      <c r="R264" s="3"/>
      <c r="S264" s="3"/>
    </row>
    <row r="265" ht="14.25" customHeight="1">
      <c r="A265" s="170"/>
      <c r="B265" s="132"/>
      <c r="C265" s="195"/>
      <c r="D265" s="196"/>
      <c r="E265" s="134"/>
      <c r="F265" s="3"/>
      <c r="G265" s="3"/>
      <c r="H265" s="3"/>
      <c r="I265" s="3"/>
      <c r="J265" s="3"/>
      <c r="K265" s="3"/>
      <c r="L265" s="3"/>
      <c r="M265" s="3"/>
      <c r="N265" s="171"/>
      <c r="O265" s="172"/>
      <c r="P265" s="172"/>
      <c r="Q265" s="172"/>
      <c r="R265" s="3"/>
      <c r="S265" s="3"/>
    </row>
    <row r="266" ht="14.25" customHeight="1">
      <c r="A266" s="170"/>
      <c r="B266" s="132"/>
      <c r="C266" s="195"/>
      <c r="D266" s="196"/>
      <c r="E266" s="134"/>
      <c r="F266" s="3"/>
      <c r="G266" s="3"/>
      <c r="H266" s="3"/>
      <c r="I266" s="3"/>
      <c r="J266" s="3"/>
      <c r="K266" s="3"/>
      <c r="L266" s="3"/>
      <c r="M266" s="3"/>
      <c r="N266" s="171"/>
      <c r="O266" s="172"/>
      <c r="P266" s="172"/>
      <c r="Q266" s="172"/>
      <c r="R266" s="3"/>
      <c r="S266" s="3"/>
    </row>
    <row r="267" ht="14.25" customHeight="1">
      <c r="A267" s="170"/>
      <c r="B267" s="132"/>
      <c r="C267" s="195"/>
      <c r="D267" s="196"/>
      <c r="E267" s="134"/>
      <c r="F267" s="3"/>
      <c r="G267" s="3"/>
      <c r="H267" s="3"/>
      <c r="I267" s="3"/>
      <c r="J267" s="3"/>
      <c r="K267" s="3"/>
      <c r="L267" s="3"/>
      <c r="M267" s="3"/>
      <c r="N267" s="171"/>
      <c r="O267" s="172"/>
      <c r="P267" s="172"/>
      <c r="Q267" s="172"/>
      <c r="R267" s="3"/>
      <c r="S267" s="3"/>
    </row>
    <row r="268" ht="14.25" customHeight="1">
      <c r="A268" s="170"/>
      <c r="B268" s="132"/>
      <c r="C268" s="195"/>
      <c r="D268" s="196"/>
      <c r="E268" s="134"/>
      <c r="F268" s="3"/>
      <c r="G268" s="3"/>
      <c r="H268" s="3"/>
      <c r="I268" s="3"/>
      <c r="J268" s="3"/>
      <c r="K268" s="3"/>
      <c r="L268" s="3"/>
      <c r="M268" s="3"/>
      <c r="N268" s="171"/>
      <c r="O268" s="172"/>
      <c r="P268" s="172"/>
      <c r="Q268" s="172"/>
      <c r="R268" s="3"/>
      <c r="S268" s="3"/>
    </row>
    <row r="269" ht="14.25" customHeight="1">
      <c r="A269" s="170"/>
      <c r="B269" s="132"/>
      <c r="C269" s="195"/>
      <c r="D269" s="196"/>
      <c r="E269" s="134"/>
      <c r="F269" s="3"/>
      <c r="G269" s="3"/>
      <c r="H269" s="3"/>
      <c r="I269" s="3"/>
      <c r="J269" s="3"/>
      <c r="K269" s="3"/>
      <c r="L269" s="3"/>
      <c r="M269" s="3"/>
      <c r="N269" s="171"/>
      <c r="O269" s="172"/>
      <c r="P269" s="172"/>
      <c r="Q269" s="172"/>
      <c r="R269" s="3"/>
      <c r="S269" s="3"/>
    </row>
    <row r="270" ht="14.25" customHeight="1">
      <c r="A270" s="170"/>
      <c r="B270" s="132"/>
      <c r="C270" s="195"/>
      <c r="D270" s="196"/>
      <c r="E270" s="134"/>
      <c r="F270" s="3"/>
      <c r="G270" s="3"/>
      <c r="H270" s="3"/>
      <c r="I270" s="3"/>
      <c r="J270" s="3"/>
      <c r="K270" s="3"/>
      <c r="L270" s="3"/>
      <c r="M270" s="3"/>
      <c r="N270" s="171"/>
      <c r="O270" s="172"/>
      <c r="P270" s="172"/>
      <c r="Q270" s="172"/>
      <c r="R270" s="3"/>
      <c r="S270" s="3"/>
    </row>
    <row r="271" ht="14.25" customHeight="1">
      <c r="A271" s="170"/>
      <c r="B271" s="132"/>
      <c r="C271" s="195"/>
      <c r="D271" s="196"/>
      <c r="E271" s="134"/>
      <c r="F271" s="3"/>
      <c r="G271" s="3"/>
      <c r="H271" s="3"/>
      <c r="I271" s="3"/>
      <c r="J271" s="3"/>
      <c r="K271" s="3"/>
      <c r="L271" s="3"/>
      <c r="M271" s="3"/>
      <c r="N271" s="171"/>
      <c r="O271" s="172"/>
      <c r="P271" s="172"/>
      <c r="Q271" s="172"/>
      <c r="R271" s="3"/>
      <c r="S271" s="3"/>
    </row>
    <row r="272" ht="14.25" customHeight="1">
      <c r="A272" s="170"/>
      <c r="B272" s="132"/>
      <c r="C272" s="195"/>
      <c r="D272" s="196"/>
      <c r="E272" s="134"/>
      <c r="F272" s="3"/>
      <c r="G272" s="3"/>
      <c r="H272" s="3"/>
      <c r="I272" s="3"/>
      <c r="J272" s="3"/>
      <c r="K272" s="3"/>
      <c r="L272" s="3"/>
      <c r="M272" s="3"/>
      <c r="N272" s="171"/>
      <c r="O272" s="172"/>
      <c r="P272" s="172"/>
      <c r="Q272" s="172"/>
      <c r="R272" s="3"/>
      <c r="S272" s="3"/>
    </row>
    <row r="273" ht="14.25" customHeight="1">
      <c r="A273" s="170"/>
      <c r="B273" s="132"/>
      <c r="C273" s="195"/>
      <c r="D273" s="196"/>
      <c r="E273" s="134"/>
      <c r="F273" s="3"/>
      <c r="G273" s="3"/>
      <c r="H273" s="3"/>
      <c r="I273" s="3"/>
      <c r="J273" s="3"/>
      <c r="K273" s="3"/>
      <c r="L273" s="3"/>
      <c r="M273" s="3"/>
      <c r="N273" s="171"/>
      <c r="O273" s="172"/>
      <c r="P273" s="172"/>
      <c r="Q273" s="172"/>
      <c r="R273" s="3"/>
      <c r="S273" s="3"/>
    </row>
    <row r="274" ht="14.25" customHeight="1">
      <c r="A274" s="3" t="s">
        <v>3</v>
      </c>
      <c r="B274" s="3"/>
      <c r="C274" s="3"/>
      <c r="D274" s="3"/>
      <c r="E274" s="57"/>
      <c r="F274" s="3"/>
      <c r="G274" s="3"/>
      <c r="H274" s="3"/>
      <c r="I274" s="3"/>
      <c r="J274" s="3"/>
      <c r="K274" s="3"/>
      <c r="L274" s="3"/>
      <c r="M274" s="3"/>
      <c r="N274" s="171"/>
      <c r="O274" s="172"/>
      <c r="P274" s="172"/>
      <c r="Q274" s="172"/>
      <c r="R274" s="3"/>
      <c r="S274" s="3"/>
    </row>
    <row r="275" ht="14.25" customHeight="1">
      <c r="A275" s="3" t="s">
        <v>4</v>
      </c>
      <c r="B275" s="3"/>
      <c r="C275" s="3"/>
      <c r="D275" s="3"/>
      <c r="E275" s="57"/>
      <c r="F275" s="3"/>
      <c r="G275" s="3"/>
      <c r="H275" s="3"/>
      <c r="I275" s="3"/>
      <c r="J275" s="3"/>
      <c r="K275" s="3"/>
      <c r="L275" s="3"/>
      <c r="M275" s="3"/>
      <c r="N275" s="171"/>
      <c r="O275" s="172"/>
      <c r="P275" s="172"/>
      <c r="Q275" s="172"/>
      <c r="R275" s="3"/>
      <c r="S275" s="3"/>
    </row>
    <row r="276" ht="14.25" customHeight="1">
      <c r="A276" s="2" t="s">
        <v>2</v>
      </c>
    </row>
    <row r="277" ht="14.25" customHeight="1">
      <c r="A277" s="8" t="s">
        <v>335</v>
      </c>
    </row>
    <row r="278" ht="14.25" customHeight="1">
      <c r="A278" s="12" t="s">
        <v>252</v>
      </c>
    </row>
    <row r="279" ht="14.25" customHeight="1">
      <c r="A279" s="88" t="s">
        <v>8</v>
      </c>
      <c r="B279" s="88" t="s">
        <v>9</v>
      </c>
      <c r="C279" s="89" t="s">
        <v>10</v>
      </c>
      <c r="D279" s="90" t="s">
        <v>11</v>
      </c>
      <c r="E279" s="91" t="s">
        <v>12</v>
      </c>
      <c r="F279" s="180" t="s">
        <v>13</v>
      </c>
      <c r="G279" s="181"/>
      <c r="H279" s="181"/>
      <c r="I279" s="181"/>
      <c r="J279" s="182" t="s">
        <v>15</v>
      </c>
      <c r="K279" s="181"/>
      <c r="L279" s="181"/>
      <c r="M279" s="181"/>
      <c r="N279" s="183" t="s">
        <v>17</v>
      </c>
      <c r="O279" s="184"/>
      <c r="P279" s="184"/>
      <c r="Q279" s="197"/>
      <c r="R279" s="52" t="s">
        <v>18</v>
      </c>
      <c r="S279" s="16"/>
      <c r="T279" s="16"/>
      <c r="U279" s="17"/>
    </row>
    <row r="280" ht="14.25" customHeight="1">
      <c r="A280" s="22"/>
      <c r="B280" s="22"/>
      <c r="C280" s="22"/>
      <c r="D280" s="22"/>
      <c r="E280" s="22"/>
      <c r="F280" s="25" t="s">
        <v>20</v>
      </c>
      <c r="G280" s="25" t="s">
        <v>21</v>
      </c>
      <c r="H280" s="25" t="s">
        <v>22</v>
      </c>
      <c r="I280" s="25" t="s">
        <v>23</v>
      </c>
      <c r="J280" s="25" t="s">
        <v>20</v>
      </c>
      <c r="K280" s="25" t="s">
        <v>21</v>
      </c>
      <c r="L280" s="25" t="s">
        <v>22</v>
      </c>
      <c r="M280" s="25" t="s">
        <v>23</v>
      </c>
      <c r="N280" s="25" t="s">
        <v>20</v>
      </c>
      <c r="O280" s="25" t="s">
        <v>21</v>
      </c>
      <c r="P280" s="25" t="s">
        <v>22</v>
      </c>
      <c r="Q280" s="198" t="s">
        <v>23</v>
      </c>
      <c r="R280" s="25" t="s">
        <v>20</v>
      </c>
      <c r="S280" s="25" t="s">
        <v>21</v>
      </c>
      <c r="T280" s="25" t="s">
        <v>22</v>
      </c>
      <c r="U280" s="25" t="s">
        <v>23</v>
      </c>
    </row>
    <row r="281" ht="14.25" customHeight="1">
      <c r="A281" s="129">
        <v>1.0</v>
      </c>
      <c r="B281" s="100">
        <v>6607.0</v>
      </c>
      <c r="C281" s="100">
        <v>5487.0</v>
      </c>
      <c r="D281" s="101" t="s">
        <v>336</v>
      </c>
      <c r="E281" s="188" t="s">
        <v>337</v>
      </c>
      <c r="F281" s="103">
        <v>1158.0</v>
      </c>
      <c r="G281" s="37">
        <v>1158.0</v>
      </c>
      <c r="H281" s="37">
        <v>1158.0</v>
      </c>
      <c r="I281" s="37">
        <v>11575.0</v>
      </c>
      <c r="J281" s="103"/>
      <c r="K281" s="37"/>
      <c r="L281" s="37"/>
      <c r="M281" s="37">
        <v>15075.0</v>
      </c>
      <c r="N281" s="103"/>
      <c r="O281" s="37"/>
      <c r="P281" s="37"/>
      <c r="Q281" s="104">
        <v>16975.0</v>
      </c>
      <c r="R281" s="131">
        <v>19995.0</v>
      </c>
      <c r="S281" s="37"/>
      <c r="T281" s="37"/>
      <c r="U281" s="37">
        <f t="shared" ref="U281:U289" si="16">Q281*110%</f>
        <v>18672.5</v>
      </c>
    </row>
    <row r="282" ht="14.25" customHeight="1">
      <c r="A282" s="129">
        <v>2.0</v>
      </c>
      <c r="B282" s="100">
        <v>6670.0</v>
      </c>
      <c r="C282" s="100">
        <v>5543.0</v>
      </c>
      <c r="D282" s="101" t="s">
        <v>50</v>
      </c>
      <c r="E282" s="188" t="s">
        <v>338</v>
      </c>
      <c r="F282" s="103">
        <v>1058.0</v>
      </c>
      <c r="G282" s="37">
        <v>1058.0</v>
      </c>
      <c r="H282" s="37">
        <v>1058.0</v>
      </c>
      <c r="I282" s="37">
        <v>10575.0</v>
      </c>
      <c r="J282" s="103"/>
      <c r="K282" s="37"/>
      <c r="L282" s="37"/>
      <c r="M282" s="37">
        <v>13775.0</v>
      </c>
      <c r="N282" s="103"/>
      <c r="O282" s="37"/>
      <c r="P282" s="37"/>
      <c r="Q282" s="104">
        <v>15975.0</v>
      </c>
      <c r="R282" s="131">
        <v>19995.0</v>
      </c>
      <c r="S282" s="37"/>
      <c r="T282" s="37"/>
      <c r="U282" s="37">
        <f t="shared" si="16"/>
        <v>17572.5</v>
      </c>
    </row>
    <row r="283" ht="14.25" customHeight="1">
      <c r="A283" s="129">
        <v>3.0</v>
      </c>
      <c r="B283" s="100">
        <v>7279.0</v>
      </c>
      <c r="C283" s="100">
        <v>6002.0</v>
      </c>
      <c r="D283" s="101" t="s">
        <v>151</v>
      </c>
      <c r="E283" s="188" t="s">
        <v>339</v>
      </c>
      <c r="F283" s="37"/>
      <c r="G283" s="37"/>
      <c r="H283" s="37"/>
      <c r="I283" s="37"/>
      <c r="J283" s="37">
        <v>15550.0</v>
      </c>
      <c r="K283" s="37"/>
      <c r="L283" s="37"/>
      <c r="M283" s="37">
        <v>15550.0</v>
      </c>
      <c r="N283" s="130"/>
      <c r="O283" s="37"/>
      <c r="P283" s="37"/>
      <c r="Q283" s="104">
        <v>17975.0</v>
      </c>
      <c r="R283" s="131">
        <v>19995.0</v>
      </c>
      <c r="S283" s="37"/>
      <c r="T283" s="37"/>
      <c r="U283" s="37">
        <f t="shared" si="16"/>
        <v>19772.5</v>
      </c>
    </row>
    <row r="284" ht="14.25" customHeight="1">
      <c r="A284" s="129">
        <v>4.0</v>
      </c>
      <c r="B284" s="100">
        <v>6973.0</v>
      </c>
      <c r="C284" s="100">
        <v>5768.0</v>
      </c>
      <c r="D284" s="101" t="s">
        <v>340</v>
      </c>
      <c r="E284" s="188" t="s">
        <v>341</v>
      </c>
      <c r="F284" s="103">
        <v>1258.0</v>
      </c>
      <c r="G284" s="103">
        <v>1258.0</v>
      </c>
      <c r="H284" s="103">
        <v>1258.0</v>
      </c>
      <c r="I284" s="37">
        <v>12575.0</v>
      </c>
      <c r="J284" s="103"/>
      <c r="K284" s="37"/>
      <c r="L284" s="37"/>
      <c r="M284" s="37">
        <v>16575.0</v>
      </c>
      <c r="N284" s="103"/>
      <c r="O284" s="37"/>
      <c r="P284" s="37"/>
      <c r="Q284" s="104">
        <v>17975.0</v>
      </c>
      <c r="R284" s="131">
        <v>19995.0</v>
      </c>
      <c r="S284" s="37"/>
      <c r="T284" s="37"/>
      <c r="U284" s="37">
        <f t="shared" si="16"/>
        <v>19772.5</v>
      </c>
    </row>
    <row r="285" ht="14.25" customHeight="1">
      <c r="A285" s="129">
        <v>5.0</v>
      </c>
      <c r="B285" s="100">
        <v>6366.0</v>
      </c>
      <c r="C285" s="100">
        <v>5311.0</v>
      </c>
      <c r="D285" s="101" t="s">
        <v>342</v>
      </c>
      <c r="E285" s="188" t="s">
        <v>343</v>
      </c>
      <c r="F285" s="103">
        <v>1058.0</v>
      </c>
      <c r="G285" s="37">
        <v>1058.0</v>
      </c>
      <c r="H285" s="37">
        <v>1058.0</v>
      </c>
      <c r="I285" s="37">
        <v>10575.0</v>
      </c>
      <c r="J285" s="103"/>
      <c r="K285" s="37"/>
      <c r="L285" s="37"/>
      <c r="M285" s="37">
        <v>15175.0</v>
      </c>
      <c r="N285" s="103"/>
      <c r="O285" s="37"/>
      <c r="P285" s="37"/>
      <c r="Q285" s="104">
        <v>16975.0</v>
      </c>
      <c r="R285" s="131">
        <v>19995.0</v>
      </c>
      <c r="S285" s="37"/>
      <c r="T285" s="37"/>
      <c r="U285" s="37">
        <f t="shared" si="16"/>
        <v>18672.5</v>
      </c>
    </row>
    <row r="286" ht="14.25" customHeight="1">
      <c r="A286" s="129">
        <v>6.0</v>
      </c>
      <c r="B286" s="100">
        <v>6977.0</v>
      </c>
      <c r="C286" s="100">
        <v>5771.0</v>
      </c>
      <c r="D286" s="101" t="s">
        <v>344</v>
      </c>
      <c r="E286" s="188" t="s">
        <v>345</v>
      </c>
      <c r="F286" s="103">
        <v>1255.0</v>
      </c>
      <c r="G286" s="37">
        <v>1255.0</v>
      </c>
      <c r="H286" s="37">
        <v>1255.0</v>
      </c>
      <c r="I286" s="37">
        <v>12550.0</v>
      </c>
      <c r="J286" s="103"/>
      <c r="K286" s="37"/>
      <c r="L286" s="37"/>
      <c r="M286" s="37">
        <v>16575.0</v>
      </c>
      <c r="N286" s="103"/>
      <c r="O286" s="37"/>
      <c r="P286" s="37"/>
      <c r="Q286" s="104">
        <v>17975.0</v>
      </c>
      <c r="R286" s="131">
        <v>19995.0</v>
      </c>
      <c r="S286" s="37"/>
      <c r="T286" s="37"/>
      <c r="U286" s="37">
        <f t="shared" si="16"/>
        <v>19772.5</v>
      </c>
    </row>
    <row r="287" ht="14.25" customHeight="1">
      <c r="A287" s="129">
        <v>7.0</v>
      </c>
      <c r="B287" s="100">
        <v>7360.0</v>
      </c>
      <c r="C287" s="100">
        <v>6076.0</v>
      </c>
      <c r="D287" s="101" t="s">
        <v>346</v>
      </c>
      <c r="E287" s="188" t="s">
        <v>347</v>
      </c>
      <c r="F287" s="37"/>
      <c r="G287" s="37"/>
      <c r="H287" s="37"/>
      <c r="I287" s="37"/>
      <c r="J287" s="185">
        <v>16575.0</v>
      </c>
      <c r="K287" s="37"/>
      <c r="L287" s="37"/>
      <c r="M287" s="37">
        <v>14575.0</v>
      </c>
      <c r="N287" s="130"/>
      <c r="O287" s="37"/>
      <c r="P287" s="37"/>
      <c r="Q287" s="104">
        <v>17975.0</v>
      </c>
      <c r="R287" s="131">
        <v>19995.0</v>
      </c>
      <c r="S287" s="37"/>
      <c r="T287" s="37"/>
      <c r="U287" s="37">
        <f t="shared" si="16"/>
        <v>19772.5</v>
      </c>
    </row>
    <row r="288" ht="14.25" customHeight="1">
      <c r="A288" s="129">
        <v>8.0</v>
      </c>
      <c r="B288" s="100">
        <v>7010.0</v>
      </c>
      <c r="C288" s="100">
        <v>5794.0</v>
      </c>
      <c r="D288" s="107" t="s">
        <v>82</v>
      </c>
      <c r="E288" s="107"/>
      <c r="F288" s="59"/>
      <c r="G288" s="59"/>
      <c r="H288" s="59"/>
      <c r="I288" s="59"/>
      <c r="J288" s="37"/>
      <c r="K288" s="37"/>
      <c r="L288" s="37"/>
      <c r="M288" s="37">
        <v>16375.0</v>
      </c>
      <c r="N288" s="37"/>
      <c r="O288" s="37"/>
      <c r="P288" s="37"/>
      <c r="Q288" s="104">
        <v>17975.0</v>
      </c>
      <c r="R288" s="131">
        <v>19995.0</v>
      </c>
      <c r="S288" s="37"/>
      <c r="T288" s="37"/>
      <c r="U288" s="37">
        <f t="shared" si="16"/>
        <v>19772.5</v>
      </c>
    </row>
    <row r="289" ht="14.25" customHeight="1">
      <c r="A289" s="129">
        <v>9.0</v>
      </c>
      <c r="B289" s="78">
        <v>6354.0</v>
      </c>
      <c r="C289" s="78">
        <v>5304.0</v>
      </c>
      <c r="D289" s="108" t="s">
        <v>348</v>
      </c>
      <c r="E289" s="199" t="s">
        <v>349</v>
      </c>
      <c r="F289" s="37">
        <v>7575.0</v>
      </c>
      <c r="G289" s="37">
        <v>7575.0</v>
      </c>
      <c r="H289" s="86">
        <v>7575.0</v>
      </c>
      <c r="I289" s="59">
        <v>7575.0</v>
      </c>
      <c r="J289" s="37"/>
      <c r="K289" s="37"/>
      <c r="L289" s="37"/>
      <c r="M289" s="37">
        <v>11275.0</v>
      </c>
      <c r="N289" s="37" t="s">
        <v>350</v>
      </c>
      <c r="O289" s="37"/>
      <c r="P289" s="37"/>
      <c r="Q289" s="104">
        <v>14167.0</v>
      </c>
      <c r="R289" s="131">
        <v>19995.0</v>
      </c>
      <c r="S289" s="37"/>
      <c r="T289" s="37"/>
      <c r="U289" s="37">
        <f t="shared" si="16"/>
        <v>15583.7</v>
      </c>
    </row>
    <row r="290" ht="14.25" customHeight="1">
      <c r="A290" s="129">
        <v>10.0</v>
      </c>
      <c r="B290" s="29">
        <v>7668.0</v>
      </c>
      <c r="C290" s="29">
        <v>6276.0</v>
      </c>
      <c r="D290" s="30" t="s">
        <v>351</v>
      </c>
      <c r="E290" s="76" t="s">
        <v>352</v>
      </c>
      <c r="F290" s="77" t="s">
        <v>194</v>
      </c>
      <c r="G290" s="77" t="s">
        <v>194</v>
      </c>
      <c r="H290" s="77" t="s">
        <v>194</v>
      </c>
      <c r="I290" s="77" t="s">
        <v>194</v>
      </c>
      <c r="J290" s="77" t="s">
        <v>194</v>
      </c>
      <c r="K290" s="77" t="s">
        <v>194</v>
      </c>
      <c r="L290" s="77" t="s">
        <v>194</v>
      </c>
      <c r="M290" s="77" t="s">
        <v>194</v>
      </c>
      <c r="N290" s="77" t="s">
        <v>194</v>
      </c>
      <c r="O290" s="77" t="s">
        <v>194</v>
      </c>
      <c r="P290" s="77" t="s">
        <v>194</v>
      </c>
      <c r="Q290" s="77" t="s">
        <v>194</v>
      </c>
      <c r="R290" s="77" t="s">
        <v>194</v>
      </c>
      <c r="S290" s="77" t="s">
        <v>194</v>
      </c>
      <c r="T290" s="77" t="s">
        <v>194</v>
      </c>
      <c r="U290" s="77" t="s">
        <v>194</v>
      </c>
    </row>
    <row r="291" ht="14.25" customHeight="1">
      <c r="A291" s="129">
        <v>11.0</v>
      </c>
      <c r="B291" s="43">
        <v>7684.0</v>
      </c>
      <c r="C291" s="43">
        <v>6289.0</v>
      </c>
      <c r="D291" s="30" t="s">
        <v>353</v>
      </c>
      <c r="E291" s="200"/>
      <c r="F291" s="59"/>
      <c r="G291" s="59"/>
      <c r="H291" s="59"/>
      <c r="I291" s="59"/>
      <c r="J291" s="37"/>
      <c r="K291" s="37"/>
      <c r="L291" s="37"/>
      <c r="M291" s="37"/>
      <c r="N291" s="37">
        <v>16575.0</v>
      </c>
      <c r="O291" s="37"/>
      <c r="P291" s="37"/>
      <c r="Q291" s="104">
        <v>14575.0</v>
      </c>
      <c r="R291" s="131">
        <v>19995.0</v>
      </c>
      <c r="S291" s="37"/>
      <c r="T291" s="37"/>
      <c r="U291" s="37">
        <f t="shared" ref="U291:U292" si="17">Q291*110%</f>
        <v>16032.5</v>
      </c>
    </row>
    <row r="292" ht="14.25" customHeight="1">
      <c r="A292" s="129">
        <v>12.0</v>
      </c>
      <c r="B292" s="29">
        <v>7796.0</v>
      </c>
      <c r="C292" s="29">
        <v>6377.0</v>
      </c>
      <c r="D292" s="30" t="s">
        <v>354</v>
      </c>
      <c r="E292" s="200"/>
      <c r="F292" s="59"/>
      <c r="G292" s="59"/>
      <c r="H292" s="59"/>
      <c r="I292" s="59"/>
      <c r="J292" s="37"/>
      <c r="K292" s="37"/>
      <c r="L292" s="37"/>
      <c r="M292" s="37"/>
      <c r="N292" s="37">
        <v>24975.0</v>
      </c>
      <c r="O292" s="37"/>
      <c r="P292" s="37"/>
      <c r="Q292" s="104">
        <v>12975.0</v>
      </c>
      <c r="R292" s="131">
        <v>19995.0</v>
      </c>
      <c r="S292" s="37"/>
      <c r="T292" s="37"/>
      <c r="U292" s="37">
        <f t="shared" si="17"/>
        <v>14272.5</v>
      </c>
    </row>
    <row r="293" ht="14.25" customHeight="1">
      <c r="A293" s="149">
        <v>13.0</v>
      </c>
      <c r="B293" s="70">
        <v>7905.0</v>
      </c>
      <c r="C293" s="70">
        <v>6429.0</v>
      </c>
      <c r="D293" s="157" t="s">
        <v>355</v>
      </c>
      <c r="E293" s="201"/>
      <c r="F293" s="85" t="s">
        <v>26</v>
      </c>
      <c r="G293" s="85" t="s">
        <v>26</v>
      </c>
      <c r="H293" s="85" t="s">
        <v>26</v>
      </c>
      <c r="I293" s="85" t="s">
        <v>26</v>
      </c>
      <c r="J293" s="85" t="s">
        <v>26</v>
      </c>
      <c r="K293" s="85" t="s">
        <v>26</v>
      </c>
      <c r="L293" s="85" t="s">
        <v>26</v>
      </c>
      <c r="M293" s="85" t="s">
        <v>26</v>
      </c>
      <c r="N293" s="85" t="s">
        <v>26</v>
      </c>
      <c r="O293" s="85" t="s">
        <v>26</v>
      </c>
      <c r="P293" s="85" t="s">
        <v>26</v>
      </c>
      <c r="Q293" s="85" t="s">
        <v>26</v>
      </c>
      <c r="R293" s="151">
        <v>19995.0</v>
      </c>
      <c r="S293" s="73"/>
      <c r="T293" s="73"/>
      <c r="U293" s="151">
        <v>13975.0</v>
      </c>
      <c r="V293" s="75"/>
      <c r="W293" s="75"/>
      <c r="X293" s="75"/>
      <c r="Y293" s="75"/>
    </row>
    <row r="294" ht="14.25" customHeight="1">
      <c r="A294" s="129">
        <v>14.0</v>
      </c>
      <c r="B294" s="43">
        <v>7299.0</v>
      </c>
      <c r="C294" s="43">
        <v>6020.0</v>
      </c>
      <c r="D294" s="30" t="s">
        <v>191</v>
      </c>
      <c r="E294" s="200"/>
      <c r="F294" s="59"/>
      <c r="G294" s="59"/>
      <c r="H294" s="59"/>
      <c r="I294" s="59"/>
      <c r="J294" s="37"/>
      <c r="K294" s="37"/>
      <c r="L294" s="37"/>
      <c r="M294" s="37"/>
      <c r="N294" s="37">
        <v>24975.0</v>
      </c>
      <c r="O294" s="37"/>
      <c r="P294" s="37"/>
      <c r="Q294" s="104">
        <v>16575.0</v>
      </c>
      <c r="R294" s="131">
        <v>19995.0</v>
      </c>
      <c r="S294" s="37"/>
      <c r="T294" s="37"/>
      <c r="U294" s="37">
        <f t="shared" ref="U294:U295" si="18">Q294*110%</f>
        <v>18232.5</v>
      </c>
    </row>
    <row r="295" ht="14.25" customHeight="1">
      <c r="A295" s="129">
        <v>15.0</v>
      </c>
      <c r="B295" s="43">
        <v>7556.0</v>
      </c>
      <c r="C295" s="43">
        <v>6190.0</v>
      </c>
      <c r="D295" s="30" t="s">
        <v>356</v>
      </c>
      <c r="E295" s="200"/>
      <c r="F295" s="59"/>
      <c r="G295" s="59"/>
      <c r="H295" s="59"/>
      <c r="I295" s="59"/>
      <c r="J295" s="37"/>
      <c r="K295" s="37"/>
      <c r="L295" s="37"/>
      <c r="M295" s="37"/>
      <c r="N295" s="37">
        <v>16575.0</v>
      </c>
      <c r="O295" s="37">
        <v>16575.0</v>
      </c>
      <c r="P295" s="37">
        <v>16575.0</v>
      </c>
      <c r="Q295" s="104">
        <v>16575.0</v>
      </c>
      <c r="R295" s="131">
        <v>19995.0</v>
      </c>
      <c r="S295" s="37"/>
      <c r="T295" s="37"/>
      <c r="U295" s="37">
        <f t="shared" si="18"/>
        <v>18232.5</v>
      </c>
    </row>
    <row r="296" ht="14.25" customHeight="1">
      <c r="A296" s="129">
        <v>16.0</v>
      </c>
      <c r="B296" s="29">
        <v>7906.0</v>
      </c>
      <c r="C296" s="191">
        <v>6430.0</v>
      </c>
      <c r="D296" s="108" t="s">
        <v>357</v>
      </c>
      <c r="E296" s="200"/>
      <c r="F296" s="59" t="s">
        <v>26</v>
      </c>
      <c r="G296" s="59" t="s">
        <v>26</v>
      </c>
      <c r="H296" s="59" t="s">
        <v>26</v>
      </c>
      <c r="I296" s="59" t="s">
        <v>26</v>
      </c>
      <c r="J296" s="59" t="s">
        <v>26</v>
      </c>
      <c r="K296" s="59" t="s">
        <v>26</v>
      </c>
      <c r="L296" s="59" t="s">
        <v>26</v>
      </c>
      <c r="M296" s="59" t="s">
        <v>26</v>
      </c>
      <c r="N296" s="59" t="s">
        <v>26</v>
      </c>
      <c r="O296" s="59" t="s">
        <v>26</v>
      </c>
      <c r="P296" s="59" t="s">
        <v>26</v>
      </c>
      <c r="Q296" s="59" t="s">
        <v>26</v>
      </c>
      <c r="R296" s="131"/>
      <c r="S296" s="37"/>
      <c r="T296" s="37"/>
      <c r="U296" s="131">
        <v>13995.0</v>
      </c>
    </row>
    <row r="297" ht="14.25" customHeight="1">
      <c r="A297" s="149">
        <v>17.0</v>
      </c>
      <c r="B297" s="70">
        <v>7873.0</v>
      </c>
      <c r="C297" s="70">
        <v>6417.0</v>
      </c>
      <c r="D297" s="71" t="s">
        <v>358</v>
      </c>
      <c r="E297" s="71" t="s">
        <v>359</v>
      </c>
      <c r="F297" s="85" t="s">
        <v>26</v>
      </c>
      <c r="G297" s="85" t="s">
        <v>26</v>
      </c>
      <c r="H297" s="85" t="s">
        <v>26</v>
      </c>
      <c r="I297" s="85" t="s">
        <v>26</v>
      </c>
      <c r="J297" s="85" t="s">
        <v>26</v>
      </c>
      <c r="K297" s="85" t="s">
        <v>26</v>
      </c>
      <c r="L297" s="85" t="s">
        <v>26</v>
      </c>
      <c r="M297" s="85" t="s">
        <v>26</v>
      </c>
      <c r="N297" s="85" t="s">
        <v>26</v>
      </c>
      <c r="O297" s="85" t="s">
        <v>26</v>
      </c>
      <c r="P297" s="85" t="s">
        <v>26</v>
      </c>
      <c r="Q297" s="85" t="s">
        <v>26</v>
      </c>
      <c r="R297" s="151"/>
      <c r="S297" s="73"/>
      <c r="T297" s="73"/>
      <c r="U297" s="151">
        <v>13995.0</v>
      </c>
      <c r="V297" s="75"/>
      <c r="W297" s="75"/>
      <c r="X297" s="75"/>
      <c r="Y297" s="75"/>
    </row>
    <row r="298" ht="14.25" customHeight="1">
      <c r="A298" s="202"/>
      <c r="B298" s="203"/>
      <c r="C298" s="204"/>
      <c r="D298" s="205"/>
      <c r="E298" s="206"/>
      <c r="F298" s="207"/>
      <c r="G298" s="207"/>
      <c r="H298" s="207"/>
      <c r="I298" s="207"/>
      <c r="J298" s="77"/>
      <c r="K298" s="77"/>
      <c r="L298" s="77"/>
      <c r="M298" s="77"/>
      <c r="N298" s="208"/>
      <c r="O298" s="186"/>
      <c r="P298" s="186"/>
      <c r="Q298" s="186"/>
      <c r="R298" s="77"/>
      <c r="S298" s="77"/>
      <c r="T298" s="77"/>
      <c r="U298" s="77"/>
    </row>
    <row r="299" ht="14.25" customHeight="1">
      <c r="A299" s="3" t="s">
        <v>3</v>
      </c>
      <c r="B299" s="3"/>
      <c r="C299" s="3"/>
      <c r="D299" s="3"/>
      <c r="E299" s="57"/>
      <c r="F299" s="207"/>
      <c r="G299" s="207"/>
      <c r="H299" s="207"/>
      <c r="I299" s="20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</row>
    <row r="300" ht="14.25" customHeight="1">
      <c r="A300" s="3" t="s">
        <v>4</v>
      </c>
      <c r="B300" s="3"/>
      <c r="C300" s="3"/>
      <c r="D300" s="3"/>
      <c r="E300" s="57"/>
      <c r="F300" s="207"/>
      <c r="G300" s="207"/>
      <c r="H300" s="207"/>
      <c r="I300" s="20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</row>
    <row r="301" ht="14.25" customHeight="1">
      <c r="A301" s="209" t="s">
        <v>2</v>
      </c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"/>
      <c r="S301" s="2"/>
    </row>
    <row r="302" ht="14.25" customHeight="1">
      <c r="A302" s="8" t="s">
        <v>360</v>
      </c>
    </row>
    <row r="303" ht="14.25" customHeight="1">
      <c r="A303" s="12" t="s">
        <v>252</v>
      </c>
    </row>
    <row r="304" ht="14.25" customHeight="1">
      <c r="A304" s="88" t="s">
        <v>8</v>
      </c>
      <c r="B304" s="88" t="s">
        <v>9</v>
      </c>
      <c r="C304" s="89" t="s">
        <v>10</v>
      </c>
      <c r="D304" s="90" t="s">
        <v>11</v>
      </c>
      <c r="E304" s="91" t="s">
        <v>12</v>
      </c>
      <c r="F304" s="92" t="s">
        <v>13</v>
      </c>
      <c r="G304" s="93"/>
      <c r="H304" s="93"/>
      <c r="I304" s="94"/>
      <c r="J304" s="95" t="s">
        <v>15</v>
      </c>
      <c r="K304" s="93"/>
      <c r="L304" s="93"/>
      <c r="M304" s="96"/>
      <c r="N304" s="97" t="s">
        <v>17</v>
      </c>
      <c r="O304" s="93"/>
      <c r="P304" s="93"/>
      <c r="Q304" s="98"/>
      <c r="R304" s="52" t="s">
        <v>18</v>
      </c>
      <c r="S304" s="16"/>
      <c r="T304" s="16"/>
      <c r="U304" s="17"/>
    </row>
    <row r="305" ht="14.25" customHeight="1">
      <c r="A305" s="22"/>
      <c r="B305" s="22"/>
      <c r="C305" s="22"/>
      <c r="D305" s="22"/>
      <c r="E305" s="22"/>
      <c r="F305" s="25" t="s">
        <v>20</v>
      </c>
      <c r="G305" s="25" t="s">
        <v>21</v>
      </c>
      <c r="H305" s="25" t="s">
        <v>22</v>
      </c>
      <c r="I305" s="25" t="s">
        <v>23</v>
      </c>
      <c r="J305" s="25" t="s">
        <v>20</v>
      </c>
      <c r="K305" s="25" t="s">
        <v>21</v>
      </c>
      <c r="L305" s="25" t="s">
        <v>22</v>
      </c>
      <c r="M305" s="25" t="s">
        <v>23</v>
      </c>
      <c r="N305" s="25" t="s">
        <v>20</v>
      </c>
      <c r="O305" s="25" t="s">
        <v>21</v>
      </c>
      <c r="P305" s="25" t="s">
        <v>22</v>
      </c>
      <c r="Q305" s="25" t="s">
        <v>23</v>
      </c>
      <c r="R305" s="25" t="s">
        <v>20</v>
      </c>
      <c r="S305" s="25" t="s">
        <v>21</v>
      </c>
      <c r="T305" s="25" t="s">
        <v>22</v>
      </c>
      <c r="U305" s="25" t="s">
        <v>23</v>
      </c>
    </row>
    <row r="306" ht="14.25" customHeight="1">
      <c r="A306" s="210">
        <v>1.0</v>
      </c>
      <c r="B306" s="100">
        <v>5816.0</v>
      </c>
      <c r="C306" s="100">
        <v>4917.0</v>
      </c>
      <c r="D306" s="101" t="s">
        <v>361</v>
      </c>
      <c r="E306" s="102" t="s">
        <v>362</v>
      </c>
      <c r="F306" s="103">
        <v>16575.0</v>
      </c>
      <c r="G306" s="37"/>
      <c r="H306" s="37"/>
      <c r="I306" s="37"/>
      <c r="J306" s="103" t="s">
        <v>56</v>
      </c>
      <c r="K306" s="103" t="s">
        <v>56</v>
      </c>
      <c r="L306" s="103" t="s">
        <v>56</v>
      </c>
      <c r="M306" s="103">
        <v>4143.0</v>
      </c>
      <c r="N306" s="103"/>
      <c r="O306" s="37"/>
      <c r="P306" s="37"/>
      <c r="Q306" s="37">
        <v>4975.0</v>
      </c>
      <c r="R306" s="131">
        <v>27980.0</v>
      </c>
      <c r="S306" s="131">
        <v>27980.0</v>
      </c>
      <c r="T306" s="131">
        <v>27980.0</v>
      </c>
      <c r="U306" s="131">
        <v>0.0</v>
      </c>
    </row>
    <row r="307" ht="14.25" customHeight="1">
      <c r="A307" s="210">
        <v>2.0</v>
      </c>
      <c r="B307" s="100">
        <v>5877.0</v>
      </c>
      <c r="C307" s="100">
        <v>4966.0</v>
      </c>
      <c r="D307" s="101" t="s">
        <v>363</v>
      </c>
      <c r="E307" s="102" t="s">
        <v>364</v>
      </c>
      <c r="F307" s="103">
        <v>1058.0</v>
      </c>
      <c r="G307" s="37">
        <v>1058.0</v>
      </c>
      <c r="H307" s="37">
        <v>1058.0</v>
      </c>
      <c r="I307" s="37">
        <v>10575.0</v>
      </c>
      <c r="J307" s="103"/>
      <c r="K307" s="37"/>
      <c r="L307" s="37"/>
      <c r="M307" s="37">
        <v>15175.0</v>
      </c>
      <c r="N307" s="103"/>
      <c r="O307" s="37"/>
      <c r="P307" s="37"/>
      <c r="Q307" s="37">
        <v>16975.0</v>
      </c>
      <c r="R307" s="131">
        <v>19995.0</v>
      </c>
      <c r="S307" s="37"/>
      <c r="T307" s="37"/>
      <c r="U307" s="37">
        <f t="shared" ref="U307:U317" si="19">Q307*110%</f>
        <v>18672.5</v>
      </c>
    </row>
    <row r="308" ht="14.25" customHeight="1">
      <c r="A308" s="210">
        <v>3.0</v>
      </c>
      <c r="B308" s="100">
        <v>6130.0</v>
      </c>
      <c r="C308" s="100">
        <v>5158.0</v>
      </c>
      <c r="D308" s="101" t="s">
        <v>365</v>
      </c>
      <c r="E308" s="102" t="s">
        <v>366</v>
      </c>
      <c r="F308" s="103">
        <v>1158.0</v>
      </c>
      <c r="G308" s="37">
        <v>1158.0</v>
      </c>
      <c r="H308" s="37">
        <v>1158.0</v>
      </c>
      <c r="I308" s="37">
        <v>11575.0</v>
      </c>
      <c r="J308" s="103"/>
      <c r="K308" s="37"/>
      <c r="L308" s="37"/>
      <c r="M308" s="37">
        <v>15075.0</v>
      </c>
      <c r="N308" s="103"/>
      <c r="O308" s="37"/>
      <c r="P308" s="37"/>
      <c r="Q308" s="37">
        <v>16975.0</v>
      </c>
      <c r="R308" s="131">
        <v>19995.0</v>
      </c>
      <c r="S308" s="37"/>
      <c r="T308" s="37"/>
      <c r="U308" s="37">
        <f t="shared" si="19"/>
        <v>18672.5</v>
      </c>
    </row>
    <row r="309" ht="14.25" customHeight="1">
      <c r="A309" s="210">
        <v>4.0</v>
      </c>
      <c r="B309" s="187">
        <v>5948.0</v>
      </c>
      <c r="C309" s="100">
        <v>5032.0</v>
      </c>
      <c r="D309" s="101" t="s">
        <v>367</v>
      </c>
      <c r="E309" s="188" t="s">
        <v>368</v>
      </c>
      <c r="F309" s="103">
        <v>1058.0</v>
      </c>
      <c r="G309" s="103">
        <v>1058.0</v>
      </c>
      <c r="H309" s="103"/>
      <c r="I309" s="37">
        <v>10575.0</v>
      </c>
      <c r="J309" s="103"/>
      <c r="K309" s="103"/>
      <c r="L309" s="103"/>
      <c r="M309" s="37">
        <v>14075.0</v>
      </c>
      <c r="N309" s="103"/>
      <c r="O309" s="37"/>
      <c r="P309" s="37"/>
      <c r="Q309" s="37">
        <v>16975.0</v>
      </c>
      <c r="R309" s="131">
        <v>19995.0</v>
      </c>
      <c r="S309" s="37"/>
      <c r="T309" s="37"/>
      <c r="U309" s="37">
        <f t="shared" si="19"/>
        <v>18672.5</v>
      </c>
    </row>
    <row r="310" ht="14.25" customHeight="1">
      <c r="A310" s="210">
        <v>5.0</v>
      </c>
      <c r="B310" s="100">
        <v>6222.0</v>
      </c>
      <c r="C310" s="100">
        <v>5203.0</v>
      </c>
      <c r="D310" s="101" t="s">
        <v>369</v>
      </c>
      <c r="E310" s="102" t="s">
        <v>370</v>
      </c>
      <c r="F310" s="103">
        <v>958.0</v>
      </c>
      <c r="G310" s="37">
        <v>958.0</v>
      </c>
      <c r="H310" s="37">
        <v>958.0</v>
      </c>
      <c r="I310" s="37">
        <v>9575.0</v>
      </c>
      <c r="J310" s="103"/>
      <c r="K310" s="37"/>
      <c r="L310" s="37"/>
      <c r="M310" s="37">
        <v>13875.0</v>
      </c>
      <c r="N310" s="103"/>
      <c r="O310" s="37"/>
      <c r="P310" s="37"/>
      <c r="Q310" s="37">
        <v>15975.0</v>
      </c>
      <c r="R310" s="131">
        <v>19995.0</v>
      </c>
      <c r="S310" s="37"/>
      <c r="T310" s="37"/>
      <c r="U310" s="37">
        <f t="shared" si="19"/>
        <v>17572.5</v>
      </c>
    </row>
    <row r="311" ht="14.25" customHeight="1">
      <c r="A311" s="210">
        <v>6.0</v>
      </c>
      <c r="B311" s="100">
        <v>7357.0</v>
      </c>
      <c r="C311" s="100">
        <v>6073.0</v>
      </c>
      <c r="D311" s="101" t="s">
        <v>371</v>
      </c>
      <c r="E311" s="102" t="s">
        <v>372</v>
      </c>
      <c r="F311" s="211" t="s">
        <v>152</v>
      </c>
      <c r="G311" s="212"/>
      <c r="H311" s="212"/>
      <c r="I311" s="212"/>
      <c r="J311" s="37">
        <v>16575.0</v>
      </c>
      <c r="K311" s="37">
        <v>16575.0</v>
      </c>
      <c r="L311" s="37">
        <v>16575.0</v>
      </c>
      <c r="M311" s="37">
        <v>14575.0</v>
      </c>
      <c r="N311" s="130"/>
      <c r="O311" s="37"/>
      <c r="P311" s="37"/>
      <c r="Q311" s="37">
        <v>16975.0</v>
      </c>
      <c r="R311" s="131">
        <v>19995.0</v>
      </c>
      <c r="S311" s="37"/>
      <c r="T311" s="37"/>
      <c r="U311" s="37">
        <f t="shared" si="19"/>
        <v>18672.5</v>
      </c>
    </row>
    <row r="312" ht="14.25" customHeight="1">
      <c r="A312" s="210">
        <v>7.0</v>
      </c>
      <c r="B312" s="100">
        <v>5962.0</v>
      </c>
      <c r="C312" s="100">
        <v>5045.0</v>
      </c>
      <c r="D312" s="101" t="s">
        <v>373</v>
      </c>
      <c r="E312" s="102" t="s">
        <v>374</v>
      </c>
      <c r="F312" s="103">
        <v>1058.0</v>
      </c>
      <c r="G312" s="37">
        <v>1058.0</v>
      </c>
      <c r="H312" s="37">
        <v>1058.0</v>
      </c>
      <c r="I312" s="37">
        <v>10575.0</v>
      </c>
      <c r="J312" s="103"/>
      <c r="K312" s="37"/>
      <c r="L312" s="37"/>
      <c r="M312" s="37">
        <v>15175.0</v>
      </c>
      <c r="N312" s="103"/>
      <c r="O312" s="37"/>
      <c r="P312" s="37"/>
      <c r="Q312" s="37">
        <v>16975.0</v>
      </c>
      <c r="R312" s="131">
        <v>19995.0</v>
      </c>
      <c r="S312" s="37"/>
      <c r="T312" s="37"/>
      <c r="U312" s="37">
        <f t="shared" si="19"/>
        <v>18672.5</v>
      </c>
    </row>
    <row r="313" ht="14.25" customHeight="1">
      <c r="A313" s="210">
        <v>8.0</v>
      </c>
      <c r="B313" s="100">
        <v>6460.0</v>
      </c>
      <c r="C313" s="100">
        <v>5392.0</v>
      </c>
      <c r="D313" s="101" t="s">
        <v>375</v>
      </c>
      <c r="E313" s="102" t="s">
        <v>376</v>
      </c>
      <c r="F313" s="103">
        <v>1058.0</v>
      </c>
      <c r="G313" s="37">
        <v>1058.0</v>
      </c>
      <c r="H313" s="37">
        <v>1058.0</v>
      </c>
      <c r="I313" s="37">
        <v>10575.0</v>
      </c>
      <c r="J313" s="103"/>
      <c r="K313" s="37"/>
      <c r="L313" s="37"/>
      <c r="M313" s="37">
        <v>15175.0</v>
      </c>
      <c r="N313" s="103"/>
      <c r="O313" s="37"/>
      <c r="P313" s="37"/>
      <c r="Q313" s="37">
        <v>16975.0</v>
      </c>
      <c r="R313" s="131">
        <v>19995.0</v>
      </c>
      <c r="S313" s="37"/>
      <c r="T313" s="37"/>
      <c r="U313" s="37">
        <f t="shared" si="19"/>
        <v>18672.5</v>
      </c>
    </row>
    <row r="314" ht="14.25" customHeight="1">
      <c r="A314" s="210">
        <v>9.0</v>
      </c>
      <c r="B314" s="100">
        <v>6548.0</v>
      </c>
      <c r="C314" s="100">
        <v>5446.0</v>
      </c>
      <c r="D314" s="101" t="s">
        <v>377</v>
      </c>
      <c r="E314" s="102" t="s">
        <v>378</v>
      </c>
      <c r="F314" s="103">
        <v>1058.0</v>
      </c>
      <c r="G314" s="37">
        <v>1058.0</v>
      </c>
      <c r="H314" s="37">
        <v>1058.0</v>
      </c>
      <c r="I314" s="37">
        <v>10575.0</v>
      </c>
      <c r="J314" s="103"/>
      <c r="K314" s="37"/>
      <c r="L314" s="37"/>
      <c r="M314" s="37">
        <v>15175.0</v>
      </c>
      <c r="N314" s="103"/>
      <c r="O314" s="37"/>
      <c r="P314" s="37"/>
      <c r="Q314" s="37">
        <v>16975.0</v>
      </c>
      <c r="R314" s="131">
        <v>19995.0</v>
      </c>
      <c r="S314" s="37"/>
      <c r="T314" s="37"/>
      <c r="U314" s="37">
        <f t="shared" si="19"/>
        <v>18672.5</v>
      </c>
    </row>
    <row r="315" ht="14.25" customHeight="1">
      <c r="A315" s="210">
        <v>10.0</v>
      </c>
      <c r="B315" s="100">
        <v>6087.0</v>
      </c>
      <c r="C315" s="100">
        <v>5129.0</v>
      </c>
      <c r="D315" s="101" t="s">
        <v>379</v>
      </c>
      <c r="E315" s="102" t="s">
        <v>380</v>
      </c>
      <c r="F315" s="103">
        <v>1058.0</v>
      </c>
      <c r="G315" s="37">
        <v>1058.0</v>
      </c>
      <c r="H315" s="37">
        <v>1058.0</v>
      </c>
      <c r="I315" s="37">
        <v>10575.0</v>
      </c>
      <c r="J315" s="103"/>
      <c r="K315" s="37"/>
      <c r="L315" s="37"/>
      <c r="M315" s="37">
        <v>15175.0</v>
      </c>
      <c r="N315" s="103"/>
      <c r="O315" s="37"/>
      <c r="P315" s="37"/>
      <c r="Q315" s="37">
        <v>16975.0</v>
      </c>
      <c r="R315" s="131">
        <v>19995.0</v>
      </c>
      <c r="S315" s="37"/>
      <c r="T315" s="37"/>
      <c r="U315" s="37">
        <f t="shared" si="19"/>
        <v>18672.5</v>
      </c>
    </row>
    <row r="316" ht="14.25" customHeight="1">
      <c r="A316" s="210">
        <v>11.0</v>
      </c>
      <c r="B316" s="187">
        <v>5927.0</v>
      </c>
      <c r="C316" s="100">
        <v>5016.0</v>
      </c>
      <c r="D316" s="101" t="s">
        <v>381</v>
      </c>
      <c r="E316" s="188" t="s">
        <v>382</v>
      </c>
      <c r="F316" s="103">
        <v>1058.0</v>
      </c>
      <c r="G316" s="37">
        <v>1058.0</v>
      </c>
      <c r="H316" s="37">
        <v>1058.0</v>
      </c>
      <c r="I316" s="37">
        <v>10575.0</v>
      </c>
      <c r="J316" s="103"/>
      <c r="K316" s="37"/>
      <c r="L316" s="37"/>
      <c r="M316" s="37">
        <v>15175.0</v>
      </c>
      <c r="N316" s="103"/>
      <c r="O316" s="37"/>
      <c r="P316" s="37"/>
      <c r="Q316" s="37">
        <v>16975.0</v>
      </c>
      <c r="R316" s="131">
        <v>19995.0</v>
      </c>
      <c r="S316" s="37"/>
      <c r="T316" s="37"/>
      <c r="U316" s="37">
        <f t="shared" si="19"/>
        <v>18672.5</v>
      </c>
    </row>
    <row r="317" ht="14.25" customHeight="1">
      <c r="A317" s="210">
        <v>12.0</v>
      </c>
      <c r="B317" s="100">
        <v>6774.0</v>
      </c>
      <c r="C317" s="100">
        <v>5626.0</v>
      </c>
      <c r="D317" s="101" t="s">
        <v>383</v>
      </c>
      <c r="E317" s="102" t="s">
        <v>384</v>
      </c>
      <c r="F317" s="103">
        <v>1258.0</v>
      </c>
      <c r="G317" s="103" t="s">
        <v>385</v>
      </c>
      <c r="H317" s="103">
        <v>1258.0</v>
      </c>
      <c r="I317" s="37">
        <v>12575.0</v>
      </c>
      <c r="J317" s="103"/>
      <c r="K317" s="37"/>
      <c r="L317" s="37"/>
      <c r="M317" s="37">
        <v>16375.0</v>
      </c>
      <c r="N317" s="103"/>
      <c r="O317" s="37"/>
      <c r="P317" s="37"/>
      <c r="Q317" s="37">
        <v>17975.0</v>
      </c>
      <c r="R317" s="131">
        <v>19995.0</v>
      </c>
      <c r="S317" s="37"/>
      <c r="T317" s="37"/>
      <c r="U317" s="37">
        <f t="shared" si="19"/>
        <v>19772.5</v>
      </c>
    </row>
    <row r="318" ht="14.25" customHeight="1">
      <c r="A318" s="210"/>
      <c r="B318" s="100"/>
      <c r="C318" s="100"/>
      <c r="D318" s="101"/>
      <c r="E318" s="102"/>
      <c r="F318" s="103"/>
      <c r="G318" s="130"/>
      <c r="H318" s="130"/>
      <c r="I318" s="37"/>
      <c r="J318" s="103"/>
      <c r="K318" s="37"/>
      <c r="L318" s="37"/>
      <c r="M318" s="37"/>
      <c r="N318" s="103"/>
      <c r="O318" s="37"/>
      <c r="P318" s="37"/>
      <c r="Q318" s="37"/>
      <c r="R318" s="37"/>
      <c r="S318" s="37"/>
      <c r="T318" s="37"/>
      <c r="U318" s="37"/>
    </row>
    <row r="319" ht="14.25" customHeight="1">
      <c r="A319" s="88" t="s">
        <v>8</v>
      </c>
      <c r="B319" s="88" t="s">
        <v>9</v>
      </c>
      <c r="C319" s="89" t="s">
        <v>10</v>
      </c>
      <c r="D319" s="90" t="s">
        <v>11</v>
      </c>
      <c r="E319" s="91" t="s">
        <v>12</v>
      </c>
      <c r="F319" s="92" t="s">
        <v>13</v>
      </c>
      <c r="G319" s="93"/>
      <c r="H319" s="93"/>
      <c r="I319" s="94"/>
      <c r="J319" s="95" t="s">
        <v>15</v>
      </c>
      <c r="K319" s="93"/>
      <c r="L319" s="93"/>
      <c r="M319" s="96"/>
      <c r="N319" s="97" t="s">
        <v>17</v>
      </c>
      <c r="O319" s="93"/>
      <c r="P319" s="93"/>
      <c r="Q319" s="98"/>
      <c r="R319" s="52" t="s">
        <v>18</v>
      </c>
      <c r="S319" s="16"/>
      <c r="T319" s="16"/>
      <c r="U319" s="17"/>
    </row>
    <row r="320" ht="14.25" customHeight="1">
      <c r="A320" s="22"/>
      <c r="B320" s="22"/>
      <c r="C320" s="22"/>
      <c r="D320" s="22"/>
      <c r="E320" s="22"/>
      <c r="F320" s="25" t="s">
        <v>20</v>
      </c>
      <c r="G320" s="25" t="s">
        <v>21</v>
      </c>
      <c r="H320" s="25" t="s">
        <v>22</v>
      </c>
      <c r="I320" s="25" t="s">
        <v>23</v>
      </c>
      <c r="J320" s="25" t="s">
        <v>20</v>
      </c>
      <c r="K320" s="25" t="s">
        <v>21</v>
      </c>
      <c r="L320" s="25" t="s">
        <v>22</v>
      </c>
      <c r="M320" s="25" t="s">
        <v>23</v>
      </c>
      <c r="N320" s="25" t="s">
        <v>20</v>
      </c>
      <c r="O320" s="25" t="s">
        <v>21</v>
      </c>
      <c r="P320" s="25" t="s">
        <v>22</v>
      </c>
      <c r="Q320" s="25" t="s">
        <v>23</v>
      </c>
      <c r="R320" s="25" t="s">
        <v>20</v>
      </c>
      <c r="S320" s="25" t="s">
        <v>21</v>
      </c>
      <c r="T320" s="25" t="s">
        <v>22</v>
      </c>
      <c r="U320" s="25" t="s">
        <v>23</v>
      </c>
    </row>
    <row r="321" ht="14.25" customHeight="1">
      <c r="A321" s="210">
        <v>13.0</v>
      </c>
      <c r="B321" s="100">
        <v>6809.0</v>
      </c>
      <c r="C321" s="100">
        <v>5659.0</v>
      </c>
      <c r="D321" s="101" t="s">
        <v>386</v>
      </c>
      <c r="E321" s="102" t="s">
        <v>387</v>
      </c>
      <c r="F321" s="103">
        <v>1258.0</v>
      </c>
      <c r="G321" s="37">
        <v>1258.0</v>
      </c>
      <c r="H321" s="37">
        <v>1258.0</v>
      </c>
      <c r="I321" s="37">
        <v>12575.0</v>
      </c>
      <c r="J321" s="103"/>
      <c r="K321" s="37"/>
      <c r="L321" s="37"/>
      <c r="M321" s="37">
        <v>16375.0</v>
      </c>
      <c r="N321" s="103"/>
      <c r="O321" s="37"/>
      <c r="P321" s="37"/>
      <c r="Q321" s="37">
        <v>17975.0</v>
      </c>
      <c r="R321" s="131">
        <v>19995.0</v>
      </c>
      <c r="S321" s="37"/>
      <c r="T321" s="37"/>
      <c r="U321" s="37">
        <f t="shared" ref="U321:U323" si="20">Q321*110%</f>
        <v>19772.5</v>
      </c>
    </row>
    <row r="322" ht="14.25" customHeight="1">
      <c r="A322" s="210">
        <v>14.0</v>
      </c>
      <c r="B322" s="100">
        <v>6935.0</v>
      </c>
      <c r="C322" s="100">
        <v>5740.0</v>
      </c>
      <c r="D322" s="101" t="s">
        <v>230</v>
      </c>
      <c r="E322" s="102" t="s">
        <v>388</v>
      </c>
      <c r="F322" s="103">
        <v>1258.0</v>
      </c>
      <c r="G322" s="37">
        <v>1258.0</v>
      </c>
      <c r="H322" s="37">
        <v>1258.0</v>
      </c>
      <c r="I322" s="37">
        <v>12575.0</v>
      </c>
      <c r="J322" s="103"/>
      <c r="K322" s="37"/>
      <c r="L322" s="37"/>
      <c r="M322" s="37">
        <v>16575.0</v>
      </c>
      <c r="N322" s="103" t="s">
        <v>187</v>
      </c>
      <c r="O322" s="37"/>
      <c r="P322" s="37"/>
      <c r="Q322" s="186">
        <v>5392.0</v>
      </c>
      <c r="R322" s="131">
        <v>19995.0</v>
      </c>
      <c r="S322" s="37"/>
      <c r="T322" s="37"/>
      <c r="U322" s="37">
        <f t="shared" si="20"/>
        <v>5931.2</v>
      </c>
    </row>
    <row r="323" ht="14.25" customHeight="1">
      <c r="A323" s="210">
        <v>15.0</v>
      </c>
      <c r="B323" s="100">
        <v>7379.0</v>
      </c>
      <c r="C323" s="100">
        <v>6097.0</v>
      </c>
      <c r="D323" s="101" t="s">
        <v>103</v>
      </c>
      <c r="E323" s="102" t="s">
        <v>389</v>
      </c>
      <c r="F323" s="211" t="s">
        <v>152</v>
      </c>
      <c r="G323" s="212"/>
      <c r="H323" s="212"/>
      <c r="I323" s="212"/>
      <c r="J323" s="37">
        <v>16575.0</v>
      </c>
      <c r="K323" s="37"/>
      <c r="L323" s="37"/>
      <c r="M323" s="37">
        <v>14575.0</v>
      </c>
      <c r="N323" s="130"/>
      <c r="O323" s="37"/>
      <c r="P323" s="37"/>
      <c r="Q323" s="37">
        <v>16975.0</v>
      </c>
      <c r="R323" s="131">
        <v>19995.0</v>
      </c>
      <c r="S323" s="37"/>
      <c r="T323" s="37"/>
      <c r="U323" s="37">
        <f t="shared" si="20"/>
        <v>18672.5</v>
      </c>
    </row>
    <row r="324" ht="14.25" customHeight="1">
      <c r="A324" s="210">
        <v>16.0</v>
      </c>
      <c r="B324" s="100">
        <v>7014.0</v>
      </c>
      <c r="C324" s="100">
        <v>5800.0</v>
      </c>
      <c r="D324" s="101" t="s">
        <v>390</v>
      </c>
      <c r="E324" s="102" t="s">
        <v>391</v>
      </c>
      <c r="F324" s="103" t="s">
        <v>56</v>
      </c>
      <c r="G324" s="103" t="s">
        <v>56</v>
      </c>
      <c r="H324" s="103" t="s">
        <v>56</v>
      </c>
      <c r="I324" s="103" t="s">
        <v>56</v>
      </c>
      <c r="J324" s="103" t="s">
        <v>56</v>
      </c>
      <c r="K324" s="103" t="s">
        <v>56</v>
      </c>
      <c r="L324" s="103" t="s">
        <v>56</v>
      </c>
      <c r="M324" s="103" t="s">
        <v>56</v>
      </c>
      <c r="N324" s="130"/>
      <c r="O324" s="37"/>
      <c r="P324" s="37"/>
      <c r="Q324" s="103" t="s">
        <v>56</v>
      </c>
      <c r="R324" s="131">
        <v>19995.0</v>
      </c>
      <c r="S324" s="37"/>
      <c r="T324" s="37"/>
      <c r="U324" s="37"/>
    </row>
    <row r="325" ht="14.25" customHeight="1">
      <c r="A325" s="210">
        <v>17.0</v>
      </c>
      <c r="B325" s="43">
        <v>7672.0</v>
      </c>
      <c r="C325" s="43">
        <v>6281.0</v>
      </c>
      <c r="D325" s="76" t="s">
        <v>392</v>
      </c>
      <c r="E325" s="43"/>
      <c r="F325" s="37"/>
      <c r="G325" s="59"/>
      <c r="H325" s="59"/>
      <c r="I325" s="212"/>
      <c r="J325" s="130"/>
      <c r="K325" s="37"/>
      <c r="L325" s="37"/>
      <c r="M325" s="37"/>
      <c r="N325" s="130">
        <v>18575.0</v>
      </c>
      <c r="O325" s="37"/>
      <c r="P325" s="37"/>
      <c r="Q325" s="37">
        <v>16575.0</v>
      </c>
      <c r="R325" s="131">
        <v>19995.0</v>
      </c>
      <c r="S325" s="37"/>
      <c r="T325" s="37"/>
      <c r="U325" s="37">
        <f t="shared" ref="U325:U326" si="21">Q325*110%</f>
        <v>18232.5</v>
      </c>
    </row>
    <row r="326" ht="14.25" customHeight="1">
      <c r="A326" s="210">
        <v>18.0</v>
      </c>
      <c r="B326" s="43">
        <v>7685.0</v>
      </c>
      <c r="C326" s="43">
        <v>6290.0</v>
      </c>
      <c r="D326" s="30" t="s">
        <v>393</v>
      </c>
      <c r="E326" s="76" t="s">
        <v>394</v>
      </c>
      <c r="F326" s="37"/>
      <c r="G326" s="37"/>
      <c r="H326" s="59"/>
      <c r="I326" s="212"/>
      <c r="J326" s="130"/>
      <c r="K326" s="37"/>
      <c r="L326" s="37"/>
      <c r="M326" s="37"/>
      <c r="N326" s="130">
        <v>16575.0</v>
      </c>
      <c r="O326" s="37"/>
      <c r="P326" s="37"/>
      <c r="Q326" s="37">
        <v>14575.0</v>
      </c>
      <c r="R326" s="131">
        <v>19995.0</v>
      </c>
      <c r="S326" s="37"/>
      <c r="T326" s="37"/>
      <c r="U326" s="37">
        <f t="shared" si="21"/>
        <v>16032.5</v>
      </c>
    </row>
    <row r="327" ht="14.25" customHeight="1">
      <c r="A327" s="210">
        <v>19.0</v>
      </c>
      <c r="B327" s="43">
        <v>7941.0</v>
      </c>
      <c r="C327" s="43">
        <v>6456.0</v>
      </c>
      <c r="D327" s="30" t="s">
        <v>395</v>
      </c>
      <c r="E327" s="76" t="s">
        <v>396</v>
      </c>
      <c r="F327" s="59" t="s">
        <v>26</v>
      </c>
      <c r="G327" s="59" t="s">
        <v>26</v>
      </c>
      <c r="H327" s="59" t="s">
        <v>26</v>
      </c>
      <c r="I327" s="59" t="s">
        <v>26</v>
      </c>
      <c r="J327" s="59" t="s">
        <v>26</v>
      </c>
      <c r="K327" s="59" t="s">
        <v>26</v>
      </c>
      <c r="L327" s="59" t="s">
        <v>26</v>
      </c>
      <c r="M327" s="59" t="s">
        <v>26</v>
      </c>
      <c r="N327" s="59" t="s">
        <v>26</v>
      </c>
      <c r="O327" s="59" t="s">
        <v>26</v>
      </c>
      <c r="P327" s="59" t="s">
        <v>26</v>
      </c>
      <c r="Q327" s="59" t="s">
        <v>26</v>
      </c>
      <c r="R327" s="131"/>
      <c r="S327" s="37"/>
      <c r="T327" s="37"/>
      <c r="U327" s="37">
        <v>13975.0</v>
      </c>
    </row>
    <row r="328" ht="14.25" customHeight="1">
      <c r="A328" s="210">
        <v>20.0</v>
      </c>
      <c r="B328" s="43">
        <v>7714.0</v>
      </c>
      <c r="C328" s="43">
        <v>6310.0</v>
      </c>
      <c r="D328" s="30" t="s">
        <v>397</v>
      </c>
      <c r="E328" s="76" t="s">
        <v>398</v>
      </c>
      <c r="F328" s="37"/>
      <c r="G328" s="37"/>
      <c r="H328" s="59"/>
      <c r="I328" s="212"/>
      <c r="J328" s="130"/>
      <c r="K328" s="37"/>
      <c r="L328" s="37"/>
      <c r="M328" s="37"/>
      <c r="N328" s="130">
        <v>19975.0</v>
      </c>
      <c r="O328" s="37"/>
      <c r="P328" s="37"/>
      <c r="Q328" s="37">
        <v>17975.0</v>
      </c>
      <c r="R328" s="131">
        <v>19995.0</v>
      </c>
      <c r="S328" s="37"/>
      <c r="T328" s="37"/>
      <c r="U328" s="37">
        <f t="shared" ref="U328:U330" si="22">Q328*110%</f>
        <v>19772.5</v>
      </c>
    </row>
    <row r="329" ht="14.25" customHeight="1">
      <c r="A329" s="210">
        <v>21.0</v>
      </c>
      <c r="B329" s="43">
        <v>7811.0</v>
      </c>
      <c r="C329" s="43">
        <v>6371.0</v>
      </c>
      <c r="D329" s="30" t="s">
        <v>399</v>
      </c>
      <c r="E329" s="76" t="s">
        <v>400</v>
      </c>
      <c r="F329" s="37"/>
      <c r="G329" s="37"/>
      <c r="H329" s="59"/>
      <c r="I329" s="212"/>
      <c r="J329" s="130"/>
      <c r="K329" s="37"/>
      <c r="L329" s="37"/>
      <c r="M329" s="37"/>
      <c r="N329" s="130">
        <v>17975.0</v>
      </c>
      <c r="O329" s="37"/>
      <c r="P329" s="37"/>
      <c r="Q329" s="37">
        <v>17975.0</v>
      </c>
      <c r="R329" s="131">
        <v>19995.0</v>
      </c>
      <c r="S329" s="37"/>
      <c r="T329" s="37"/>
      <c r="U329" s="37">
        <f t="shared" si="22"/>
        <v>19772.5</v>
      </c>
    </row>
    <row r="330" ht="14.25" customHeight="1">
      <c r="A330" s="210">
        <v>22.0</v>
      </c>
      <c r="B330" s="29">
        <v>7612.0</v>
      </c>
      <c r="C330" s="29">
        <v>6234.0</v>
      </c>
      <c r="D330" s="108" t="s">
        <v>401</v>
      </c>
      <c r="E330" s="76" t="s">
        <v>402</v>
      </c>
      <c r="F330" s="37"/>
      <c r="G330" s="37"/>
      <c r="H330" s="59"/>
      <c r="I330" s="212"/>
      <c r="J330" s="130"/>
      <c r="K330" s="37"/>
      <c r="L330" s="37"/>
      <c r="M330" s="37"/>
      <c r="N330" s="130">
        <v>16575.0</v>
      </c>
      <c r="O330" s="37"/>
      <c r="P330" s="37"/>
      <c r="Q330" s="37">
        <v>12575.0</v>
      </c>
      <c r="R330" s="131">
        <v>19995.0</v>
      </c>
      <c r="S330" s="37"/>
      <c r="T330" s="37"/>
      <c r="U330" s="37">
        <f t="shared" si="22"/>
        <v>13832.5</v>
      </c>
    </row>
    <row r="331" ht="14.25" customHeight="1">
      <c r="A331" s="3" t="s">
        <v>3</v>
      </c>
      <c r="B331" s="3"/>
      <c r="C331" s="3"/>
      <c r="D331" s="3"/>
      <c r="E331" s="57"/>
      <c r="F331" s="42"/>
      <c r="G331" s="42"/>
      <c r="H331" s="42"/>
      <c r="I331" s="42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ht="14.25" customHeight="1">
      <c r="A332" s="3" t="s">
        <v>4</v>
      </c>
      <c r="B332" s="3"/>
      <c r="C332" s="3"/>
      <c r="D332" s="3"/>
      <c r="E332" s="57"/>
      <c r="F332" s="42"/>
      <c r="G332" s="42"/>
      <c r="H332" s="42"/>
      <c r="I332" s="42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ht="14.25" customHeight="1">
      <c r="A333" s="2" t="s">
        <v>2</v>
      </c>
    </row>
    <row r="334" ht="14.25" customHeight="1">
      <c r="A334" s="8" t="s">
        <v>403</v>
      </c>
    </row>
    <row r="335" ht="14.25" customHeight="1">
      <c r="A335" s="12" t="s">
        <v>252</v>
      </c>
    </row>
    <row r="336" ht="20.25" customHeight="1">
      <c r="A336" s="88" t="s">
        <v>8</v>
      </c>
      <c r="B336" s="88" t="s">
        <v>9</v>
      </c>
      <c r="C336" s="89" t="s">
        <v>10</v>
      </c>
      <c r="D336" s="90" t="s">
        <v>11</v>
      </c>
      <c r="E336" s="91" t="s">
        <v>12</v>
      </c>
      <c r="F336" s="92" t="s">
        <v>13</v>
      </c>
      <c r="G336" s="93"/>
      <c r="H336" s="93"/>
      <c r="I336" s="94"/>
      <c r="J336" s="95" t="s">
        <v>15</v>
      </c>
      <c r="K336" s="93"/>
      <c r="L336" s="93"/>
      <c r="M336" s="96"/>
      <c r="N336" s="97" t="s">
        <v>17</v>
      </c>
      <c r="O336" s="93"/>
      <c r="P336" s="93"/>
      <c r="Q336" s="98"/>
      <c r="R336" s="52" t="s">
        <v>18</v>
      </c>
      <c r="S336" s="16"/>
      <c r="T336" s="16"/>
      <c r="U336" s="17"/>
    </row>
    <row r="337" ht="14.25" customHeight="1">
      <c r="A337" s="22"/>
      <c r="B337" s="22"/>
      <c r="C337" s="22"/>
      <c r="D337" s="22"/>
      <c r="E337" s="213"/>
      <c r="F337" s="25" t="s">
        <v>20</v>
      </c>
      <c r="G337" s="25" t="s">
        <v>21</v>
      </c>
      <c r="H337" s="25" t="s">
        <v>22</v>
      </c>
      <c r="I337" s="25" t="s">
        <v>23</v>
      </c>
      <c r="J337" s="25" t="s">
        <v>20</v>
      </c>
      <c r="K337" s="25" t="s">
        <v>21</v>
      </c>
      <c r="L337" s="25" t="s">
        <v>22</v>
      </c>
      <c r="M337" s="25" t="s">
        <v>23</v>
      </c>
      <c r="N337" s="25" t="s">
        <v>20</v>
      </c>
      <c r="O337" s="25" t="s">
        <v>21</v>
      </c>
      <c r="P337" s="25" t="s">
        <v>22</v>
      </c>
      <c r="Q337" s="25" t="s">
        <v>23</v>
      </c>
      <c r="R337" s="25" t="s">
        <v>20</v>
      </c>
      <c r="S337" s="25" t="s">
        <v>21</v>
      </c>
      <c r="T337" s="25" t="s">
        <v>22</v>
      </c>
      <c r="U337" s="25" t="s">
        <v>23</v>
      </c>
    </row>
    <row r="338" ht="14.25" customHeight="1">
      <c r="A338" s="214">
        <v>1.0</v>
      </c>
      <c r="B338" s="43">
        <v>7645.0</v>
      </c>
      <c r="C338" s="43">
        <v>13.0</v>
      </c>
      <c r="D338" s="76" t="s">
        <v>404</v>
      </c>
      <c r="E338" s="215" t="s">
        <v>405</v>
      </c>
      <c r="F338" s="43"/>
      <c r="G338" s="43"/>
      <c r="H338" s="37"/>
      <c r="I338" s="37"/>
      <c r="J338" s="216"/>
      <c r="K338" s="216"/>
      <c r="L338" s="216"/>
      <c r="M338" s="216"/>
      <c r="N338" s="217" t="s">
        <v>406</v>
      </c>
      <c r="O338" s="217" t="s">
        <v>406</v>
      </c>
      <c r="P338" s="217" t="s">
        <v>406</v>
      </c>
      <c r="Q338" s="217" t="s">
        <v>406</v>
      </c>
      <c r="R338" s="218">
        <v>19995.0</v>
      </c>
      <c r="S338" s="219"/>
      <c r="T338" s="37"/>
      <c r="U338" s="220">
        <f t="shared" ref="U338:U339" si="23">Q338*1.1</f>
        <v>18232.5</v>
      </c>
    </row>
    <row r="339" ht="14.25" customHeight="1">
      <c r="A339" s="214">
        <v>2.0</v>
      </c>
      <c r="B339" s="43">
        <v>7884.0</v>
      </c>
      <c r="C339" s="43">
        <v>61.0</v>
      </c>
      <c r="D339" s="76" t="s">
        <v>407</v>
      </c>
      <c r="E339" s="215" t="s">
        <v>408</v>
      </c>
      <c r="F339" s="43"/>
      <c r="G339" s="43"/>
      <c r="H339" s="37"/>
      <c r="I339" s="37"/>
      <c r="J339" s="216"/>
      <c r="K339" s="216"/>
      <c r="L339" s="216"/>
      <c r="M339" s="216"/>
      <c r="N339" s="217" t="s">
        <v>409</v>
      </c>
      <c r="O339" s="216"/>
      <c r="P339" s="216"/>
      <c r="Q339" s="217" t="s">
        <v>410</v>
      </c>
      <c r="R339" s="218">
        <v>19995.0</v>
      </c>
      <c r="S339" s="219"/>
      <c r="T339" s="37"/>
      <c r="U339" s="220">
        <f t="shared" si="23"/>
        <v>16472.5</v>
      </c>
    </row>
    <row r="340" ht="14.25" customHeight="1">
      <c r="A340" s="214">
        <v>3.0</v>
      </c>
      <c r="B340" s="221">
        <v>5426.0</v>
      </c>
      <c r="C340" s="221">
        <v>4652.0</v>
      </c>
      <c r="D340" s="222" t="s">
        <v>411</v>
      </c>
      <c r="E340" s="223" t="s">
        <v>412</v>
      </c>
      <c r="F340" s="37">
        <v>958.0</v>
      </c>
      <c r="G340" s="37">
        <v>958.0</v>
      </c>
      <c r="H340" s="37"/>
      <c r="I340" s="37">
        <v>9575.0</v>
      </c>
      <c r="J340" s="37"/>
      <c r="K340" s="37"/>
      <c r="L340" s="37"/>
      <c r="M340" s="37">
        <v>12875.0</v>
      </c>
      <c r="N340" s="37" t="s">
        <v>413</v>
      </c>
      <c r="O340" s="37"/>
      <c r="P340" s="37"/>
      <c r="Q340" s="37">
        <v>4493.0</v>
      </c>
      <c r="R340" s="131">
        <v>19995.0</v>
      </c>
      <c r="S340" s="37"/>
      <c r="T340" s="37"/>
      <c r="U340" s="131">
        <v>19995.0</v>
      </c>
      <c r="W340" s="224" t="s">
        <v>414</v>
      </c>
    </row>
    <row r="341" ht="14.25" customHeight="1">
      <c r="A341" s="214">
        <v>4.0</v>
      </c>
      <c r="B341" s="221">
        <v>5958.0</v>
      </c>
      <c r="C341" s="221">
        <v>5042.0</v>
      </c>
      <c r="D341" s="222" t="s">
        <v>415</v>
      </c>
      <c r="E341" s="223" t="s">
        <v>416</v>
      </c>
      <c r="F341" s="37">
        <v>1058.0</v>
      </c>
      <c r="G341" s="37">
        <v>1058.0</v>
      </c>
      <c r="H341" s="37"/>
      <c r="I341" s="37">
        <v>10575.0</v>
      </c>
      <c r="J341" s="37"/>
      <c r="K341" s="37"/>
      <c r="L341" s="37"/>
      <c r="M341" s="37">
        <v>15775.0</v>
      </c>
      <c r="N341" s="37"/>
      <c r="O341" s="37"/>
      <c r="P341" s="37"/>
      <c r="Q341" s="37">
        <v>17975.0</v>
      </c>
      <c r="R341" s="131">
        <v>19995.0</v>
      </c>
      <c r="S341" s="37"/>
      <c r="T341" s="37"/>
      <c r="U341" s="37">
        <f t="shared" ref="U341:U357" si="24">Q341*1.1</f>
        <v>19772.5</v>
      </c>
    </row>
    <row r="342" ht="14.25" customHeight="1">
      <c r="A342" s="214">
        <v>5.0</v>
      </c>
      <c r="B342" s="221">
        <v>7174.0</v>
      </c>
      <c r="C342" s="221">
        <v>5921.0</v>
      </c>
      <c r="D342" s="222" t="s">
        <v>417</v>
      </c>
      <c r="E342" s="223" t="s">
        <v>418</v>
      </c>
      <c r="F342" s="37">
        <v>1255.0</v>
      </c>
      <c r="G342" s="37">
        <v>1255.0</v>
      </c>
      <c r="H342" s="37">
        <v>1255.0</v>
      </c>
      <c r="I342" s="37">
        <v>12550.0</v>
      </c>
      <c r="J342" s="37"/>
      <c r="K342" s="37"/>
      <c r="L342" s="37"/>
      <c r="M342" s="37">
        <v>17975.0</v>
      </c>
      <c r="N342" s="37"/>
      <c r="O342" s="37"/>
      <c r="P342" s="37"/>
      <c r="Q342" s="37">
        <v>18975.0</v>
      </c>
      <c r="R342" s="131">
        <v>19995.0</v>
      </c>
      <c r="S342" s="37"/>
      <c r="T342" s="37"/>
      <c r="U342" s="37">
        <f t="shared" si="24"/>
        <v>20872.5</v>
      </c>
    </row>
    <row r="343" ht="14.25" customHeight="1">
      <c r="A343" s="214">
        <v>6.0</v>
      </c>
      <c r="B343" s="221">
        <v>6831.0</v>
      </c>
      <c r="C343" s="221">
        <v>5672.0</v>
      </c>
      <c r="D343" s="222" t="s">
        <v>419</v>
      </c>
      <c r="E343" s="223" t="s">
        <v>420</v>
      </c>
      <c r="F343" s="37">
        <v>1058.0</v>
      </c>
      <c r="G343" s="37">
        <v>1058.0</v>
      </c>
      <c r="H343" s="37">
        <v>1058.0</v>
      </c>
      <c r="I343" s="37">
        <v>10575.0</v>
      </c>
      <c r="J343" s="37"/>
      <c r="K343" s="37"/>
      <c r="L343" s="37"/>
      <c r="M343" s="37">
        <v>15075.0</v>
      </c>
      <c r="N343" s="37"/>
      <c r="O343" s="37"/>
      <c r="P343" s="37"/>
      <c r="Q343" s="37">
        <v>16975.0</v>
      </c>
      <c r="R343" s="131">
        <v>19995.0</v>
      </c>
      <c r="S343" s="37"/>
      <c r="T343" s="37"/>
      <c r="U343" s="37">
        <f t="shared" si="24"/>
        <v>18672.5</v>
      </c>
    </row>
    <row r="344" ht="14.25" customHeight="1">
      <c r="A344" s="214">
        <v>7.0</v>
      </c>
      <c r="B344" s="225">
        <v>6583.0</v>
      </c>
      <c r="C344" s="221">
        <v>5473.0</v>
      </c>
      <c r="D344" s="222" t="s">
        <v>421</v>
      </c>
      <c r="E344" s="223" t="s">
        <v>422</v>
      </c>
      <c r="F344" s="37">
        <v>958.0</v>
      </c>
      <c r="G344" s="37">
        <v>958.0</v>
      </c>
      <c r="H344" s="37">
        <v>958.0</v>
      </c>
      <c r="I344" s="37">
        <v>9575.0</v>
      </c>
      <c r="J344" s="37"/>
      <c r="K344" s="37"/>
      <c r="L344" s="37"/>
      <c r="M344" s="37">
        <v>13875.0</v>
      </c>
      <c r="N344" s="37"/>
      <c r="O344" s="37"/>
      <c r="P344" s="37"/>
      <c r="Q344" s="37">
        <v>15975.0</v>
      </c>
      <c r="R344" s="131">
        <v>19995.0</v>
      </c>
      <c r="S344" s="37"/>
      <c r="T344" s="37"/>
      <c r="U344" s="37">
        <f t="shared" si="24"/>
        <v>17572.5</v>
      </c>
    </row>
    <row r="345" ht="14.25" customHeight="1">
      <c r="A345" s="214">
        <v>8.0</v>
      </c>
      <c r="B345" s="225">
        <v>5833.0</v>
      </c>
      <c r="C345" s="221">
        <v>4923.0</v>
      </c>
      <c r="D345" s="222" t="s">
        <v>423</v>
      </c>
      <c r="E345" s="223" t="s">
        <v>424</v>
      </c>
      <c r="F345" s="37">
        <v>1058.0</v>
      </c>
      <c r="G345" s="37">
        <v>1058.0</v>
      </c>
      <c r="H345" s="37"/>
      <c r="I345" s="37">
        <v>10575.0</v>
      </c>
      <c r="J345" s="37"/>
      <c r="K345" s="37"/>
      <c r="L345" s="37"/>
      <c r="M345" s="37">
        <v>14075.0</v>
      </c>
      <c r="N345" s="37"/>
      <c r="O345" s="37"/>
      <c r="P345" s="37"/>
      <c r="Q345" s="37">
        <v>16975.0</v>
      </c>
      <c r="R345" s="131">
        <v>19995.0</v>
      </c>
      <c r="S345" s="37"/>
      <c r="T345" s="37"/>
      <c r="U345" s="37">
        <f t="shared" si="24"/>
        <v>18672.5</v>
      </c>
    </row>
    <row r="346" ht="14.25" customHeight="1">
      <c r="A346" s="214">
        <v>9.0</v>
      </c>
      <c r="B346" s="221">
        <v>5959.0</v>
      </c>
      <c r="C346" s="221">
        <v>5043.0</v>
      </c>
      <c r="D346" s="222" t="s">
        <v>425</v>
      </c>
      <c r="E346" s="223" t="s">
        <v>426</v>
      </c>
      <c r="F346" s="37">
        <v>1058.0</v>
      </c>
      <c r="G346" s="37">
        <v>1058.0</v>
      </c>
      <c r="H346" s="37"/>
      <c r="I346" s="37">
        <v>10575.0</v>
      </c>
      <c r="J346" s="37"/>
      <c r="K346" s="37"/>
      <c r="L346" s="37"/>
      <c r="M346" s="37">
        <v>14072.0</v>
      </c>
      <c r="N346" s="37"/>
      <c r="O346" s="37"/>
      <c r="P346" s="37"/>
      <c r="Q346" s="37">
        <v>16975.0</v>
      </c>
      <c r="R346" s="131">
        <v>19995.0</v>
      </c>
      <c r="S346" s="37"/>
      <c r="T346" s="37"/>
      <c r="U346" s="37">
        <f t="shared" si="24"/>
        <v>18672.5</v>
      </c>
    </row>
    <row r="347" ht="14.25" customHeight="1">
      <c r="A347" s="214">
        <v>10.0</v>
      </c>
      <c r="B347" s="221">
        <v>7224.0</v>
      </c>
      <c r="C347" s="221">
        <v>5954.0</v>
      </c>
      <c r="D347" s="222" t="s">
        <v>427</v>
      </c>
      <c r="E347" s="223" t="s">
        <v>428</v>
      </c>
      <c r="F347" s="37">
        <v>16575.0</v>
      </c>
      <c r="G347" s="37"/>
      <c r="H347" s="37"/>
      <c r="I347" s="37">
        <v>12550.0</v>
      </c>
      <c r="J347" s="37"/>
      <c r="K347" s="37"/>
      <c r="L347" s="37"/>
      <c r="M347" s="37">
        <v>12550.0</v>
      </c>
      <c r="N347" s="37"/>
      <c r="O347" s="37"/>
      <c r="P347" s="37"/>
      <c r="Q347" s="37">
        <v>14975.0</v>
      </c>
      <c r="R347" s="131">
        <v>19995.0</v>
      </c>
      <c r="S347" s="37"/>
      <c r="T347" s="37"/>
      <c r="U347" s="37">
        <f t="shared" si="24"/>
        <v>16472.5</v>
      </c>
    </row>
    <row r="348" ht="14.25" customHeight="1">
      <c r="A348" s="214">
        <v>11.0</v>
      </c>
      <c r="B348" s="221">
        <v>7033.0</v>
      </c>
      <c r="C348" s="221">
        <v>5815.0</v>
      </c>
      <c r="D348" s="222" t="s">
        <v>429</v>
      </c>
      <c r="E348" s="223" t="s">
        <v>430</v>
      </c>
      <c r="F348" s="37">
        <v>12550.0</v>
      </c>
      <c r="G348" s="37">
        <v>12550.0</v>
      </c>
      <c r="H348" s="37">
        <v>12550.0</v>
      </c>
      <c r="I348" s="37">
        <v>12550.0</v>
      </c>
      <c r="J348" s="37"/>
      <c r="K348" s="37"/>
      <c r="L348" s="37"/>
      <c r="M348" s="37">
        <v>13975.0</v>
      </c>
      <c r="N348" s="37"/>
      <c r="O348" s="37"/>
      <c r="P348" s="37"/>
      <c r="Q348" s="37">
        <v>15975.0</v>
      </c>
      <c r="R348" s="131">
        <v>19995.0</v>
      </c>
      <c r="S348" s="37"/>
      <c r="T348" s="37"/>
      <c r="U348" s="37">
        <f t="shared" si="24"/>
        <v>17572.5</v>
      </c>
    </row>
    <row r="349" ht="14.25" customHeight="1">
      <c r="A349" s="214">
        <v>12.0</v>
      </c>
      <c r="B349" s="221">
        <v>5428.0</v>
      </c>
      <c r="C349" s="221">
        <v>4661.0</v>
      </c>
      <c r="D349" s="222" t="s">
        <v>431</v>
      </c>
      <c r="E349" s="223" t="s">
        <v>432</v>
      </c>
      <c r="F349" s="37"/>
      <c r="G349" s="37">
        <v>958.0</v>
      </c>
      <c r="H349" s="37">
        <v>958.0</v>
      </c>
      <c r="I349" s="37"/>
      <c r="J349" s="37"/>
      <c r="K349" s="37"/>
      <c r="L349" s="37"/>
      <c r="M349" s="37">
        <v>13875.0</v>
      </c>
      <c r="N349" s="37"/>
      <c r="O349" s="37"/>
      <c r="P349" s="37"/>
      <c r="Q349" s="37">
        <v>17975.0</v>
      </c>
      <c r="R349" s="131">
        <v>19995.0</v>
      </c>
      <c r="S349" s="37"/>
      <c r="T349" s="37"/>
      <c r="U349" s="37">
        <f t="shared" si="24"/>
        <v>19772.5</v>
      </c>
    </row>
    <row r="350" ht="14.25" customHeight="1">
      <c r="A350" s="214">
        <v>13.0</v>
      </c>
      <c r="B350" s="221">
        <v>6572.0</v>
      </c>
      <c r="C350" s="221">
        <v>5466.0</v>
      </c>
      <c r="D350" s="222" t="s">
        <v>433</v>
      </c>
      <c r="E350" s="223" t="s">
        <v>434</v>
      </c>
      <c r="F350" s="37">
        <v>958.0</v>
      </c>
      <c r="G350" s="37">
        <v>958.0</v>
      </c>
      <c r="H350" s="37">
        <v>958.0</v>
      </c>
      <c r="I350" s="37">
        <v>9575.0</v>
      </c>
      <c r="J350" s="37"/>
      <c r="K350" s="37"/>
      <c r="L350" s="37"/>
      <c r="M350" s="37">
        <v>13830.0</v>
      </c>
      <c r="N350" s="37"/>
      <c r="O350" s="37"/>
      <c r="P350" s="37"/>
      <c r="Q350" s="37">
        <v>15975.0</v>
      </c>
      <c r="R350" s="131">
        <v>19995.0</v>
      </c>
      <c r="S350" s="37"/>
      <c r="T350" s="37"/>
      <c r="U350" s="37">
        <f t="shared" si="24"/>
        <v>17572.5</v>
      </c>
    </row>
    <row r="351" ht="14.25" customHeight="1">
      <c r="A351" s="214">
        <v>14.0</v>
      </c>
      <c r="B351" s="221">
        <v>7054.0</v>
      </c>
      <c r="C351" s="221">
        <v>5830.0</v>
      </c>
      <c r="D351" s="222" t="s">
        <v>435</v>
      </c>
      <c r="E351" s="223" t="s">
        <v>67</v>
      </c>
      <c r="F351" s="37">
        <v>1255.0</v>
      </c>
      <c r="G351" s="37">
        <v>1255.0</v>
      </c>
      <c r="H351" s="37">
        <v>1255.0</v>
      </c>
      <c r="I351" s="37">
        <v>12550.0</v>
      </c>
      <c r="J351" s="37"/>
      <c r="K351" s="37"/>
      <c r="L351" s="37"/>
      <c r="M351" s="37">
        <v>16575.0</v>
      </c>
      <c r="N351" s="37"/>
      <c r="O351" s="37"/>
      <c r="P351" s="37"/>
      <c r="Q351" s="37">
        <v>17975.0</v>
      </c>
      <c r="R351" s="131">
        <v>19995.0</v>
      </c>
      <c r="S351" s="37"/>
      <c r="T351" s="37"/>
      <c r="U351" s="37">
        <f t="shared" si="24"/>
        <v>19772.5</v>
      </c>
    </row>
    <row r="352" ht="14.25" customHeight="1">
      <c r="A352" s="214">
        <v>15.0</v>
      </c>
      <c r="B352" s="221"/>
      <c r="C352" s="221"/>
      <c r="D352" s="222"/>
      <c r="E352" s="223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131">
        <v>19995.0</v>
      </c>
      <c r="S352" s="37"/>
      <c r="T352" s="37"/>
      <c r="U352" s="37">
        <f t="shared" si="24"/>
        <v>0</v>
      </c>
    </row>
    <row r="353" ht="14.25" customHeight="1">
      <c r="A353" s="214">
        <v>16.0</v>
      </c>
      <c r="B353" s="221">
        <v>6780.0</v>
      </c>
      <c r="C353" s="221">
        <v>5632.0</v>
      </c>
      <c r="D353" s="222" t="s">
        <v>436</v>
      </c>
      <c r="E353" s="223" t="s">
        <v>437</v>
      </c>
      <c r="F353" s="37">
        <v>1258.0</v>
      </c>
      <c r="G353" s="37">
        <v>1258.0</v>
      </c>
      <c r="H353" s="37">
        <v>1258.0</v>
      </c>
      <c r="I353" s="37">
        <v>12575.0</v>
      </c>
      <c r="J353" s="37"/>
      <c r="K353" s="37"/>
      <c r="L353" s="37"/>
      <c r="M353" s="37">
        <v>16575.0</v>
      </c>
      <c r="N353" s="37"/>
      <c r="O353" s="37"/>
      <c r="P353" s="37"/>
      <c r="Q353" s="37">
        <v>17975.0</v>
      </c>
      <c r="R353" s="131">
        <v>19995.0</v>
      </c>
      <c r="S353" s="37"/>
      <c r="T353" s="37"/>
      <c r="U353" s="37">
        <f t="shared" si="24"/>
        <v>19772.5</v>
      </c>
    </row>
    <row r="354" ht="14.25" customHeight="1">
      <c r="A354" s="214">
        <v>17.0</v>
      </c>
      <c r="B354" s="221">
        <v>5447.0</v>
      </c>
      <c r="C354" s="221">
        <v>4670.0</v>
      </c>
      <c r="D354" s="222" t="s">
        <v>438</v>
      </c>
      <c r="E354" s="223" t="s">
        <v>439</v>
      </c>
      <c r="F354" s="37">
        <v>958.0</v>
      </c>
      <c r="G354" s="37">
        <v>958.0</v>
      </c>
      <c r="H354" s="37"/>
      <c r="I354" s="37">
        <v>9575.0</v>
      </c>
      <c r="J354" s="37"/>
      <c r="K354" s="37"/>
      <c r="L354" s="37"/>
      <c r="M354" s="37">
        <v>14075.0</v>
      </c>
      <c r="N354" s="37"/>
      <c r="O354" s="37"/>
      <c r="P354" s="37"/>
      <c r="Q354" s="37">
        <v>16975.0</v>
      </c>
      <c r="R354" s="131">
        <v>19995.0</v>
      </c>
      <c r="S354" s="37"/>
      <c r="T354" s="37"/>
      <c r="U354" s="37">
        <f t="shared" si="24"/>
        <v>18672.5</v>
      </c>
    </row>
    <row r="355" ht="14.25" customHeight="1">
      <c r="A355" s="214">
        <v>18.0</v>
      </c>
      <c r="B355" s="221">
        <v>5741.0</v>
      </c>
      <c r="C355" s="221">
        <v>4858.0</v>
      </c>
      <c r="D355" s="222" t="s">
        <v>440</v>
      </c>
      <c r="E355" s="223" t="s">
        <v>441</v>
      </c>
      <c r="F355" s="37">
        <v>1058.0</v>
      </c>
      <c r="G355" s="37">
        <v>1058.0</v>
      </c>
      <c r="H355" s="37"/>
      <c r="I355" s="37">
        <v>10575.0</v>
      </c>
      <c r="J355" s="37"/>
      <c r="K355" s="37"/>
      <c r="L355" s="37"/>
      <c r="M355" s="37">
        <v>14072.0</v>
      </c>
      <c r="N355" s="37"/>
      <c r="O355" s="37"/>
      <c r="P355" s="37"/>
      <c r="Q355" s="37">
        <v>16975.0</v>
      </c>
      <c r="R355" s="131">
        <v>19995.0</v>
      </c>
      <c r="S355" s="37"/>
      <c r="T355" s="37"/>
      <c r="U355" s="37">
        <f t="shared" si="24"/>
        <v>18672.5</v>
      </c>
    </row>
    <row r="356" ht="14.25" customHeight="1">
      <c r="A356" s="214">
        <v>19.0</v>
      </c>
      <c r="B356" s="221">
        <v>5802.0</v>
      </c>
      <c r="C356" s="221">
        <v>4903.0</v>
      </c>
      <c r="D356" s="222" t="s">
        <v>442</v>
      </c>
      <c r="E356" s="223" t="s">
        <v>443</v>
      </c>
      <c r="F356" s="37">
        <v>1058.0</v>
      </c>
      <c r="G356" s="37">
        <v>1058.0</v>
      </c>
      <c r="H356" s="37"/>
      <c r="I356" s="37">
        <v>10575.0</v>
      </c>
      <c r="J356" s="37"/>
      <c r="K356" s="37"/>
      <c r="L356" s="37"/>
      <c r="M356" s="37">
        <v>14072.0</v>
      </c>
      <c r="N356" s="37"/>
      <c r="O356" s="37"/>
      <c r="P356" s="37"/>
      <c r="Q356" s="37">
        <v>16975.0</v>
      </c>
      <c r="R356" s="131">
        <v>19995.0</v>
      </c>
      <c r="S356" s="37"/>
      <c r="T356" s="37"/>
      <c r="U356" s="37">
        <f t="shared" si="24"/>
        <v>18672.5</v>
      </c>
    </row>
    <row r="357" ht="14.25" customHeight="1">
      <c r="A357" s="214">
        <v>20.0</v>
      </c>
      <c r="B357" s="221">
        <v>7227.0</v>
      </c>
      <c r="C357" s="221">
        <v>5957.0</v>
      </c>
      <c r="D357" s="222" t="s">
        <v>444</v>
      </c>
      <c r="E357" s="223" t="s">
        <v>445</v>
      </c>
      <c r="F357" s="37">
        <v>16575.0</v>
      </c>
      <c r="G357" s="37"/>
      <c r="H357" s="37"/>
      <c r="I357" s="37">
        <v>12550.0</v>
      </c>
      <c r="J357" s="37"/>
      <c r="K357" s="37"/>
      <c r="L357" s="37"/>
      <c r="M357" s="37">
        <v>12550.0</v>
      </c>
      <c r="N357" s="37"/>
      <c r="O357" s="37"/>
      <c r="P357" s="37"/>
      <c r="Q357" s="37">
        <v>14975.0</v>
      </c>
      <c r="R357" s="131">
        <v>19995.0</v>
      </c>
      <c r="S357" s="37"/>
      <c r="T357" s="37"/>
      <c r="U357" s="37">
        <f t="shared" si="24"/>
        <v>16472.5</v>
      </c>
    </row>
    <row r="358" ht="14.25" customHeight="1">
      <c r="A358" s="88" t="s">
        <v>8</v>
      </c>
      <c r="B358" s="88" t="s">
        <v>9</v>
      </c>
      <c r="C358" s="89" t="s">
        <v>10</v>
      </c>
      <c r="D358" s="90" t="s">
        <v>11</v>
      </c>
      <c r="E358" s="91" t="s">
        <v>12</v>
      </c>
      <c r="F358" s="92" t="s">
        <v>13</v>
      </c>
      <c r="G358" s="93"/>
      <c r="H358" s="93"/>
      <c r="I358" s="94"/>
      <c r="J358" s="95" t="s">
        <v>15</v>
      </c>
      <c r="K358" s="93"/>
      <c r="L358" s="93"/>
      <c r="M358" s="96"/>
      <c r="N358" s="97" t="s">
        <v>17</v>
      </c>
      <c r="O358" s="93"/>
      <c r="P358" s="93"/>
      <c r="Q358" s="98"/>
      <c r="R358" s="52" t="s">
        <v>18</v>
      </c>
      <c r="S358" s="16"/>
      <c r="T358" s="16"/>
      <c r="U358" s="17"/>
    </row>
    <row r="359" ht="14.25" customHeight="1">
      <c r="A359" s="22"/>
      <c r="B359" s="22"/>
      <c r="C359" s="22"/>
      <c r="D359" s="22"/>
      <c r="E359" s="213"/>
      <c r="F359" s="25" t="s">
        <v>20</v>
      </c>
      <c r="G359" s="25" t="s">
        <v>21</v>
      </c>
      <c r="H359" s="25" t="s">
        <v>22</v>
      </c>
      <c r="I359" s="25" t="s">
        <v>23</v>
      </c>
      <c r="J359" s="25" t="s">
        <v>20</v>
      </c>
      <c r="K359" s="25" t="s">
        <v>21</v>
      </c>
      <c r="L359" s="25" t="s">
        <v>22</v>
      </c>
      <c r="M359" s="25" t="s">
        <v>23</v>
      </c>
      <c r="N359" s="25" t="s">
        <v>20</v>
      </c>
      <c r="O359" s="25" t="s">
        <v>21</v>
      </c>
      <c r="P359" s="25" t="s">
        <v>22</v>
      </c>
      <c r="Q359" s="25" t="s">
        <v>23</v>
      </c>
      <c r="R359" s="25" t="s">
        <v>20</v>
      </c>
      <c r="S359" s="25" t="s">
        <v>21</v>
      </c>
      <c r="T359" s="25" t="s">
        <v>22</v>
      </c>
      <c r="U359" s="25" t="s">
        <v>23</v>
      </c>
    </row>
    <row r="360" ht="14.25" customHeight="1">
      <c r="A360" s="214">
        <v>21.0</v>
      </c>
      <c r="B360" s="221">
        <v>7298.0</v>
      </c>
      <c r="C360" s="221">
        <v>6019.0</v>
      </c>
      <c r="D360" s="222" t="s">
        <v>446</v>
      </c>
      <c r="E360" s="223" t="s">
        <v>447</v>
      </c>
      <c r="F360" s="37">
        <v>16575.0</v>
      </c>
      <c r="G360" s="37"/>
      <c r="H360" s="37"/>
      <c r="I360" s="37">
        <v>12575.0</v>
      </c>
      <c r="J360" s="37"/>
      <c r="K360" s="37"/>
      <c r="L360" s="37"/>
      <c r="M360" s="37">
        <v>12575.0</v>
      </c>
      <c r="N360" s="37"/>
      <c r="O360" s="37"/>
      <c r="P360" s="37"/>
      <c r="Q360" s="37">
        <v>14975.0</v>
      </c>
      <c r="R360" s="131">
        <v>19995.0</v>
      </c>
      <c r="S360" s="37"/>
      <c r="T360" s="37"/>
      <c r="U360" s="37">
        <f t="shared" ref="U360:U361" si="25">Q360*1.1</f>
        <v>16472.5</v>
      </c>
    </row>
    <row r="361" ht="14.25" customHeight="1">
      <c r="A361" s="214">
        <v>22.0</v>
      </c>
      <c r="B361" s="221">
        <v>7415.0</v>
      </c>
      <c r="C361" s="221">
        <v>6120.0</v>
      </c>
      <c r="D361" s="222" t="s">
        <v>448</v>
      </c>
      <c r="E361" s="223" t="s">
        <v>449</v>
      </c>
      <c r="F361" s="37">
        <v>16575.0</v>
      </c>
      <c r="G361" s="37">
        <v>16575.0</v>
      </c>
      <c r="H361" s="37">
        <v>16575.0</v>
      </c>
      <c r="I361" s="37">
        <v>5525.0</v>
      </c>
      <c r="J361" s="37"/>
      <c r="K361" s="37"/>
      <c r="L361" s="37"/>
      <c r="M361" s="37">
        <v>5525.0</v>
      </c>
      <c r="N361" s="37"/>
      <c r="O361" s="37"/>
      <c r="P361" s="37"/>
      <c r="Q361" s="37">
        <v>17975.0</v>
      </c>
      <c r="R361" s="131">
        <v>19995.0</v>
      </c>
      <c r="S361" s="37"/>
      <c r="T361" s="37"/>
      <c r="U361" s="37">
        <f t="shared" si="25"/>
        <v>19772.5</v>
      </c>
    </row>
    <row r="362" ht="14.25" customHeight="1">
      <c r="A362" s="214">
        <v>23.0</v>
      </c>
      <c r="B362" s="221">
        <v>6849.0</v>
      </c>
      <c r="C362" s="221">
        <v>5683.0</v>
      </c>
      <c r="D362" s="222" t="s">
        <v>450</v>
      </c>
      <c r="E362" s="223" t="s">
        <v>451</v>
      </c>
      <c r="F362" s="37" t="s">
        <v>56</v>
      </c>
      <c r="G362" s="37" t="s">
        <v>56</v>
      </c>
      <c r="H362" s="37" t="s">
        <v>56</v>
      </c>
      <c r="I362" s="37" t="s">
        <v>56</v>
      </c>
      <c r="J362" s="37" t="s">
        <v>56</v>
      </c>
      <c r="K362" s="37" t="s">
        <v>56</v>
      </c>
      <c r="L362" s="37" t="s">
        <v>56</v>
      </c>
      <c r="M362" s="37" t="s">
        <v>56</v>
      </c>
      <c r="N362" s="37"/>
      <c r="O362" s="37"/>
      <c r="P362" s="37"/>
      <c r="Q362" s="37" t="s">
        <v>56</v>
      </c>
      <c r="R362" s="131"/>
      <c r="S362" s="37"/>
      <c r="T362" s="37"/>
      <c r="U362" s="37"/>
    </row>
    <row r="363" ht="14.25" customHeight="1">
      <c r="A363" s="99">
        <v>24.0</v>
      </c>
      <c r="B363" s="43">
        <v>7594.0</v>
      </c>
      <c r="C363" s="43">
        <v>6221.0</v>
      </c>
      <c r="D363" s="30" t="s">
        <v>452</v>
      </c>
      <c r="E363" s="215" t="s">
        <v>453</v>
      </c>
      <c r="F363" s="37"/>
      <c r="G363" s="226"/>
      <c r="H363" s="226"/>
      <c r="I363" s="226"/>
      <c r="J363" s="37"/>
      <c r="K363" s="37"/>
      <c r="L363" s="37"/>
      <c r="M363" s="37"/>
      <c r="N363" s="37">
        <v>16575.0</v>
      </c>
      <c r="O363" s="37"/>
      <c r="P363" s="37"/>
      <c r="Q363" s="37">
        <v>12575.0</v>
      </c>
      <c r="R363" s="131">
        <v>19995.0</v>
      </c>
      <c r="S363" s="37"/>
      <c r="T363" s="37"/>
      <c r="U363" s="37">
        <f>Q363*1.1</f>
        <v>13832.5</v>
      </c>
    </row>
    <row r="364" ht="14.25" customHeight="1">
      <c r="A364" s="99">
        <v>25.0</v>
      </c>
      <c r="B364" s="43">
        <v>7797.0</v>
      </c>
      <c r="C364" s="43">
        <v>6362.0</v>
      </c>
      <c r="D364" s="30" t="s">
        <v>454</v>
      </c>
      <c r="E364" s="227" t="s">
        <v>455</v>
      </c>
      <c r="F364" s="37"/>
      <c r="G364" s="226"/>
      <c r="H364" s="226"/>
      <c r="I364" s="226"/>
      <c r="J364" s="37"/>
      <c r="K364" s="37"/>
      <c r="L364" s="37"/>
      <c r="M364" s="37"/>
      <c r="N364" s="37">
        <v>18575.0</v>
      </c>
      <c r="O364" s="37">
        <v>18575.0</v>
      </c>
      <c r="P364" s="37"/>
      <c r="Q364" s="37">
        <v>18575.0</v>
      </c>
      <c r="R364" s="37">
        <v>20975.0</v>
      </c>
      <c r="S364" s="37">
        <v>20975.0</v>
      </c>
      <c r="T364" s="37">
        <v>20975.0</v>
      </c>
      <c r="U364" s="37">
        <v>20975.0</v>
      </c>
    </row>
    <row r="365" ht="14.25" customHeight="1">
      <c r="A365" s="99">
        <v>26.0</v>
      </c>
      <c r="B365" s="43">
        <v>7717.0</v>
      </c>
      <c r="C365" s="43">
        <v>6312.0</v>
      </c>
      <c r="D365" s="76" t="s">
        <v>456</v>
      </c>
      <c r="E365" s="215" t="s">
        <v>457</v>
      </c>
      <c r="F365" s="37" t="s">
        <v>56</v>
      </c>
      <c r="G365" s="37" t="s">
        <v>56</v>
      </c>
      <c r="H365" s="37" t="s">
        <v>56</v>
      </c>
      <c r="I365" s="37" t="s">
        <v>56</v>
      </c>
      <c r="J365" s="37" t="s">
        <v>56</v>
      </c>
      <c r="K365" s="37" t="s">
        <v>56</v>
      </c>
      <c r="L365" s="37" t="s">
        <v>56</v>
      </c>
      <c r="M365" s="37" t="s">
        <v>56</v>
      </c>
      <c r="N365" s="37" t="s">
        <v>56</v>
      </c>
      <c r="O365" s="37" t="s">
        <v>56</v>
      </c>
      <c r="P365" s="37" t="s">
        <v>56</v>
      </c>
      <c r="Q365" s="37" t="s">
        <v>56</v>
      </c>
      <c r="R365" s="37" t="s">
        <v>56</v>
      </c>
      <c r="S365" s="37" t="s">
        <v>56</v>
      </c>
      <c r="T365" s="37" t="s">
        <v>56</v>
      </c>
      <c r="U365" s="37" t="s">
        <v>56</v>
      </c>
    </row>
    <row r="366" ht="14.25" customHeight="1">
      <c r="A366" s="109">
        <v>27.0</v>
      </c>
      <c r="B366" s="70">
        <v>7980.0</v>
      </c>
      <c r="C366" s="70">
        <v>6481.0</v>
      </c>
      <c r="D366" s="71" t="s">
        <v>458</v>
      </c>
      <c r="E366" s="228" t="s">
        <v>459</v>
      </c>
      <c r="F366" s="73"/>
      <c r="G366" s="73"/>
      <c r="H366" s="229"/>
      <c r="I366" s="229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>
        <v>16975.0</v>
      </c>
      <c r="V366" s="75"/>
      <c r="W366" s="75"/>
      <c r="X366" s="75"/>
      <c r="Y366" s="75"/>
    </row>
    <row r="367" ht="14.25" customHeight="1">
      <c r="A367" s="99">
        <v>28.0</v>
      </c>
      <c r="B367" s="29">
        <v>7988.0</v>
      </c>
      <c r="C367" s="29">
        <v>6485.0</v>
      </c>
      <c r="D367" s="30" t="s">
        <v>460</v>
      </c>
      <c r="E367" s="215" t="s">
        <v>461</v>
      </c>
      <c r="F367" s="37"/>
      <c r="G367" s="37"/>
      <c r="H367" s="226"/>
      <c r="I367" s="226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>
        <v>16975.0</v>
      </c>
    </row>
    <row r="368" ht="14.25" customHeight="1">
      <c r="A368" s="99">
        <v>29.0</v>
      </c>
      <c r="B368" s="43">
        <v>7606.0</v>
      </c>
      <c r="C368" s="145" t="s">
        <v>462</v>
      </c>
      <c r="D368" s="76" t="s">
        <v>463</v>
      </c>
      <c r="E368" s="215" t="s">
        <v>464</v>
      </c>
      <c r="F368" s="37"/>
      <c r="G368" s="37"/>
      <c r="H368" s="226"/>
      <c r="I368" s="226"/>
      <c r="J368" s="37"/>
      <c r="K368" s="37"/>
      <c r="L368" s="37"/>
      <c r="M368" s="37"/>
      <c r="N368" s="37">
        <v>16575.0</v>
      </c>
      <c r="O368" s="37"/>
      <c r="P368" s="37"/>
      <c r="Q368" s="37">
        <v>12575.0</v>
      </c>
      <c r="R368" s="131">
        <v>19995.0</v>
      </c>
      <c r="S368" s="37"/>
      <c r="T368" s="37"/>
      <c r="U368" s="131">
        <v>15995.0</v>
      </c>
    </row>
    <row r="369" ht="14.25" customHeight="1">
      <c r="A369" s="99">
        <v>30.0</v>
      </c>
      <c r="B369" s="29">
        <v>6532.0</v>
      </c>
      <c r="C369" s="29">
        <v>5435.0</v>
      </c>
      <c r="D369" s="62" t="s">
        <v>465</v>
      </c>
      <c r="E369" s="230" t="s">
        <v>466</v>
      </c>
      <c r="F369" s="37" t="s">
        <v>56</v>
      </c>
      <c r="G369" s="37" t="s">
        <v>56</v>
      </c>
      <c r="H369" s="37" t="s">
        <v>56</v>
      </c>
      <c r="I369" s="37" t="s">
        <v>56</v>
      </c>
      <c r="J369" s="37" t="s">
        <v>56</v>
      </c>
      <c r="K369" s="37" t="s">
        <v>56</v>
      </c>
      <c r="L369" s="37" t="s">
        <v>56</v>
      </c>
      <c r="M369" s="37" t="s">
        <v>56</v>
      </c>
      <c r="N369" s="37" t="s">
        <v>56</v>
      </c>
      <c r="O369" s="37" t="s">
        <v>56</v>
      </c>
      <c r="P369" s="37" t="s">
        <v>56</v>
      </c>
      <c r="Q369" s="37" t="s">
        <v>56</v>
      </c>
      <c r="R369" s="37" t="s">
        <v>56</v>
      </c>
      <c r="S369" s="37" t="s">
        <v>56</v>
      </c>
      <c r="T369" s="37" t="s">
        <v>56</v>
      </c>
      <c r="U369" s="37" t="s">
        <v>56</v>
      </c>
    </row>
    <row r="370" ht="14.25" customHeight="1">
      <c r="A370" s="99">
        <v>31.0</v>
      </c>
      <c r="B370" s="43">
        <v>7921.0</v>
      </c>
      <c r="C370" s="43">
        <v>6441.0</v>
      </c>
      <c r="D370" s="30" t="s">
        <v>467</v>
      </c>
      <c r="E370" s="215" t="s">
        <v>468</v>
      </c>
      <c r="F370" s="37"/>
      <c r="G370" s="37"/>
      <c r="H370" s="226"/>
      <c r="I370" s="226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>
        <v>16975.0</v>
      </c>
    </row>
    <row r="371" ht="14.25" customHeight="1">
      <c r="A371" s="99">
        <v>32.0</v>
      </c>
      <c r="B371" s="43">
        <v>7976.0</v>
      </c>
      <c r="C371" s="43">
        <v>6478.0</v>
      </c>
      <c r="D371" s="30" t="s">
        <v>469</v>
      </c>
      <c r="E371" s="215" t="s">
        <v>470</v>
      </c>
      <c r="F371" s="37"/>
      <c r="G371" s="37"/>
      <c r="H371" s="226"/>
      <c r="I371" s="226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>
        <v>16975.0</v>
      </c>
    </row>
    <row r="372" ht="14.25" customHeight="1">
      <c r="A372" s="117"/>
      <c r="B372" s="87"/>
      <c r="C372" s="87"/>
      <c r="D372" s="40"/>
      <c r="E372" s="231"/>
      <c r="F372" s="77"/>
      <c r="G372" s="77"/>
      <c r="H372" s="232"/>
      <c r="I372" s="232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</row>
    <row r="373" ht="14.25" customHeight="1">
      <c r="A373" s="117"/>
      <c r="B373" s="87"/>
      <c r="C373" s="87"/>
      <c r="D373" s="40"/>
      <c r="E373" s="231"/>
      <c r="F373" s="77"/>
      <c r="G373" s="77"/>
      <c r="H373" s="232"/>
      <c r="I373" s="232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</row>
    <row r="374" ht="14.25" customHeight="1">
      <c r="A374" s="117"/>
      <c r="B374" s="87"/>
      <c r="C374" s="87"/>
      <c r="D374" s="40"/>
      <c r="E374" s="231"/>
      <c r="F374" s="77"/>
      <c r="G374" s="77"/>
      <c r="H374" s="232"/>
      <c r="I374" s="232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</row>
    <row r="375" ht="14.25" customHeight="1">
      <c r="A375" s="117"/>
      <c r="B375" s="87"/>
      <c r="C375" s="87"/>
      <c r="D375" s="40"/>
      <c r="E375" s="231"/>
      <c r="F375" s="77"/>
      <c r="G375" s="77"/>
      <c r="H375" s="232"/>
      <c r="I375" s="232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</row>
    <row r="376" ht="14.25" customHeight="1">
      <c r="A376" s="117"/>
      <c r="B376" s="87"/>
      <c r="C376" s="87"/>
      <c r="D376" s="40"/>
      <c r="E376" s="231"/>
      <c r="F376" s="77"/>
      <c r="G376" s="77"/>
      <c r="H376" s="232"/>
      <c r="I376" s="232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</row>
    <row r="377" ht="14.25" customHeight="1">
      <c r="A377" s="117"/>
      <c r="B377" s="87"/>
      <c r="C377" s="87"/>
      <c r="D377" s="40"/>
      <c r="E377" s="231"/>
      <c r="F377" s="77"/>
      <c r="G377" s="77"/>
      <c r="H377" s="232"/>
      <c r="I377" s="232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</row>
    <row r="378" ht="14.25" customHeight="1">
      <c r="A378" s="117"/>
      <c r="B378" s="87"/>
      <c r="C378" s="87"/>
      <c r="D378" s="40"/>
      <c r="E378" s="231"/>
      <c r="F378" s="77"/>
      <c r="G378" s="77"/>
      <c r="H378" s="232"/>
      <c r="I378" s="232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</row>
    <row r="379" ht="14.25" customHeight="1">
      <c r="A379" s="117"/>
      <c r="B379" s="87"/>
      <c r="C379" s="87"/>
      <c r="D379" s="40"/>
      <c r="E379" s="231"/>
      <c r="F379" s="77"/>
      <c r="G379" s="77"/>
      <c r="H379" s="232"/>
      <c r="I379" s="232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</row>
    <row r="380" ht="14.25" customHeight="1">
      <c r="A380" s="117"/>
      <c r="B380" s="87"/>
      <c r="C380" s="87"/>
      <c r="D380" s="40"/>
      <c r="E380" s="231"/>
      <c r="F380" s="77"/>
      <c r="G380" s="77"/>
      <c r="H380" s="232"/>
      <c r="I380" s="232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</row>
    <row r="381" ht="14.25" customHeight="1">
      <c r="A381" s="117"/>
      <c r="B381" s="87"/>
      <c r="C381" s="87"/>
      <c r="D381" s="40"/>
      <c r="E381" s="231"/>
      <c r="F381" s="77"/>
      <c r="G381" s="77"/>
      <c r="H381" s="232"/>
      <c r="I381" s="232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</row>
    <row r="382" ht="14.25" customHeight="1">
      <c r="A382" s="117"/>
      <c r="B382" s="87"/>
      <c r="C382" s="87"/>
      <c r="D382" s="40"/>
      <c r="E382" s="231"/>
      <c r="F382" s="77"/>
      <c r="G382" s="77"/>
      <c r="H382" s="232"/>
      <c r="I382" s="232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</row>
    <row r="383" ht="14.25" customHeight="1">
      <c r="A383" s="117"/>
      <c r="B383" s="87"/>
      <c r="C383" s="87"/>
      <c r="D383" s="40"/>
      <c r="E383" s="231"/>
      <c r="F383" s="77"/>
      <c r="G383" s="77"/>
      <c r="H383" s="232"/>
      <c r="I383" s="232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</row>
    <row r="384" ht="14.25" customHeight="1">
      <c r="A384" s="117"/>
      <c r="B384" s="87"/>
      <c r="C384" s="87"/>
      <c r="D384" s="40"/>
      <c r="E384" s="231"/>
      <c r="F384" s="77"/>
      <c r="G384" s="77"/>
      <c r="H384" s="232"/>
      <c r="I384" s="232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</row>
    <row r="385" ht="14.25" customHeight="1">
      <c r="A385" s="117"/>
      <c r="B385" s="87"/>
      <c r="C385" s="87"/>
      <c r="D385" s="40"/>
      <c r="E385" s="231"/>
      <c r="F385" s="77"/>
      <c r="G385" s="77"/>
      <c r="H385" s="232"/>
      <c r="I385" s="232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</row>
    <row r="386" ht="14.25" customHeight="1">
      <c r="A386" s="117"/>
      <c r="B386" s="87"/>
      <c r="C386" s="87"/>
      <c r="D386" s="40"/>
      <c r="E386" s="231"/>
      <c r="F386" s="77"/>
      <c r="G386" s="77"/>
      <c r="H386" s="232"/>
      <c r="I386" s="232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</row>
    <row r="387" ht="14.25" customHeight="1">
      <c r="A387" s="117"/>
      <c r="B387" s="87"/>
      <c r="C387" s="87"/>
      <c r="D387" s="40"/>
      <c r="E387" s="231"/>
      <c r="F387" s="77"/>
      <c r="G387" s="77"/>
      <c r="H387" s="232"/>
      <c r="I387" s="232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</row>
    <row r="388" ht="14.25" customHeight="1">
      <c r="A388" s="117"/>
      <c r="B388" s="87"/>
      <c r="C388" s="87"/>
      <c r="D388" s="40"/>
      <c r="E388" s="231"/>
      <c r="F388" s="77"/>
      <c r="G388" s="77"/>
      <c r="H388" s="232"/>
      <c r="I388" s="232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</row>
    <row r="389" ht="14.25" customHeight="1">
      <c r="A389" s="117"/>
      <c r="B389" s="87"/>
      <c r="C389" s="87"/>
      <c r="D389" s="40"/>
      <c r="E389" s="231"/>
      <c r="F389" s="77"/>
      <c r="G389" s="77"/>
      <c r="H389" s="232"/>
      <c r="I389" s="232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</row>
    <row r="390" ht="14.25" customHeight="1">
      <c r="A390" s="3" t="s">
        <v>3</v>
      </c>
      <c r="B390" s="3"/>
      <c r="C390" s="3"/>
      <c r="D390" s="3"/>
      <c r="E390" s="57"/>
      <c r="F390" s="55"/>
      <c r="G390" s="55"/>
      <c r="H390" s="55"/>
      <c r="I390" s="55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ht="14.25" customHeight="1">
      <c r="A391" s="3" t="s">
        <v>4</v>
      </c>
      <c r="B391" s="3"/>
      <c r="C391" s="3"/>
      <c r="D391" s="3"/>
      <c r="E391" s="57"/>
      <c r="F391" s="55"/>
      <c r="G391" s="55"/>
      <c r="H391" s="55"/>
      <c r="I391" s="55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ht="14.25" customHeight="1">
      <c r="A392" s="2" t="s">
        <v>2</v>
      </c>
    </row>
    <row r="393" ht="14.25" customHeight="1">
      <c r="A393" s="8" t="s">
        <v>471</v>
      </c>
    </row>
    <row r="394" ht="14.25" customHeight="1">
      <c r="A394" s="12" t="s">
        <v>7</v>
      </c>
    </row>
    <row r="395" ht="14.25" customHeight="1">
      <c r="A395" s="88" t="s">
        <v>8</v>
      </c>
      <c r="B395" s="88" t="s">
        <v>9</v>
      </c>
      <c r="C395" s="89" t="s">
        <v>10</v>
      </c>
      <c r="D395" s="90" t="s">
        <v>11</v>
      </c>
      <c r="E395" s="91" t="s">
        <v>12</v>
      </c>
      <c r="F395" s="180" t="s">
        <v>13</v>
      </c>
      <c r="G395" s="181"/>
      <c r="H395" s="181"/>
      <c r="I395" s="181"/>
      <c r="J395" s="182" t="s">
        <v>15</v>
      </c>
      <c r="K395" s="181"/>
      <c r="L395" s="181"/>
      <c r="M395" s="181"/>
      <c r="N395" s="183" t="s">
        <v>17</v>
      </c>
      <c r="O395" s="184"/>
      <c r="P395" s="184"/>
      <c r="Q395" s="184"/>
      <c r="R395" s="52" t="s">
        <v>18</v>
      </c>
      <c r="S395" s="16"/>
      <c r="T395" s="16"/>
      <c r="U395" s="17"/>
    </row>
    <row r="396" ht="14.25" customHeight="1">
      <c r="A396" s="22"/>
      <c r="B396" s="22"/>
      <c r="C396" s="22"/>
      <c r="D396" s="22"/>
      <c r="E396" s="22"/>
      <c r="F396" s="25" t="s">
        <v>20</v>
      </c>
      <c r="G396" s="25" t="s">
        <v>21</v>
      </c>
      <c r="H396" s="25" t="s">
        <v>22</v>
      </c>
      <c r="I396" s="25" t="s">
        <v>23</v>
      </c>
      <c r="J396" s="25" t="s">
        <v>20</v>
      </c>
      <c r="K396" s="25" t="s">
        <v>21</v>
      </c>
      <c r="L396" s="25" t="s">
        <v>22</v>
      </c>
      <c r="M396" s="25" t="s">
        <v>23</v>
      </c>
      <c r="N396" s="25" t="s">
        <v>20</v>
      </c>
      <c r="O396" s="25" t="s">
        <v>21</v>
      </c>
      <c r="P396" s="25" t="s">
        <v>22</v>
      </c>
      <c r="Q396" s="25" t="s">
        <v>23</v>
      </c>
      <c r="R396" s="25" t="s">
        <v>20</v>
      </c>
      <c r="S396" s="25" t="s">
        <v>21</v>
      </c>
      <c r="T396" s="25" t="s">
        <v>22</v>
      </c>
      <c r="U396" s="25" t="s">
        <v>23</v>
      </c>
    </row>
    <row r="397" ht="14.25" customHeight="1">
      <c r="A397" s="99">
        <v>1.0</v>
      </c>
      <c r="B397" s="221">
        <v>5195.0</v>
      </c>
      <c r="C397" s="221">
        <v>4462.0</v>
      </c>
      <c r="D397" s="222" t="s">
        <v>472</v>
      </c>
      <c r="E397" s="233" t="s">
        <v>473</v>
      </c>
      <c r="F397" s="103">
        <v>958.0</v>
      </c>
      <c r="G397" s="37">
        <v>958.0</v>
      </c>
      <c r="H397" s="37"/>
      <c r="I397" s="37">
        <v>9575.0</v>
      </c>
      <c r="J397" s="37"/>
      <c r="K397" s="37"/>
      <c r="L397" s="37"/>
      <c r="M397" s="37">
        <v>12875.0</v>
      </c>
      <c r="N397" s="130"/>
      <c r="O397" s="37"/>
      <c r="P397" s="37"/>
      <c r="Q397" s="37">
        <v>16975.0</v>
      </c>
      <c r="R397" s="105">
        <v>19995.0</v>
      </c>
      <c r="S397" s="27"/>
      <c r="T397" s="27"/>
      <c r="U397" s="27">
        <f t="shared" ref="U397:U407" si="26">Q397*1.1</f>
        <v>18672.5</v>
      </c>
    </row>
    <row r="398" ht="14.25" customHeight="1">
      <c r="A398" s="99">
        <v>2.0</v>
      </c>
      <c r="B398" s="221">
        <v>5747.0</v>
      </c>
      <c r="C398" s="221">
        <v>4860.0</v>
      </c>
      <c r="D398" s="222" t="s">
        <v>474</v>
      </c>
      <c r="E398" s="233" t="s">
        <v>475</v>
      </c>
      <c r="F398" s="103">
        <v>958.0</v>
      </c>
      <c r="G398" s="37">
        <v>958.0</v>
      </c>
      <c r="H398" s="37"/>
      <c r="I398" s="37">
        <v>9575.0</v>
      </c>
      <c r="J398" s="37"/>
      <c r="K398" s="37"/>
      <c r="L398" s="37"/>
      <c r="M398" s="37">
        <v>12875.0</v>
      </c>
      <c r="N398" s="130"/>
      <c r="O398" s="37"/>
      <c r="P398" s="37"/>
      <c r="Q398" s="37">
        <v>16975.0</v>
      </c>
      <c r="R398" s="105">
        <v>19995.0</v>
      </c>
      <c r="S398" s="27"/>
      <c r="T398" s="27"/>
      <c r="U398" s="27">
        <f t="shared" si="26"/>
        <v>18672.5</v>
      </c>
    </row>
    <row r="399" ht="14.25" customHeight="1">
      <c r="A399" s="99">
        <v>3.0</v>
      </c>
      <c r="B399" s="221">
        <v>6425.0</v>
      </c>
      <c r="C399" s="221">
        <v>5358.0</v>
      </c>
      <c r="D399" s="222" t="s">
        <v>476</v>
      </c>
      <c r="E399" s="233" t="s">
        <v>477</v>
      </c>
      <c r="F399" s="103">
        <v>958.0</v>
      </c>
      <c r="G399" s="37">
        <v>958.0</v>
      </c>
      <c r="H399" s="37">
        <v>958.0</v>
      </c>
      <c r="I399" s="37">
        <v>9575.0</v>
      </c>
      <c r="J399" s="37"/>
      <c r="K399" s="37"/>
      <c r="L399" s="37"/>
      <c r="M399" s="37">
        <v>13875.0</v>
      </c>
      <c r="N399" s="130"/>
      <c r="O399" s="37"/>
      <c r="P399" s="37"/>
      <c r="Q399" s="37">
        <v>16975.0</v>
      </c>
      <c r="R399" s="105">
        <v>19995.0</v>
      </c>
      <c r="S399" s="27"/>
      <c r="T399" s="27"/>
      <c r="U399" s="27">
        <f t="shared" si="26"/>
        <v>18672.5</v>
      </c>
    </row>
    <row r="400" ht="14.25" customHeight="1">
      <c r="A400" s="99">
        <v>4.0</v>
      </c>
      <c r="B400" s="221">
        <v>5359.0</v>
      </c>
      <c r="C400" s="221">
        <v>4586.0</v>
      </c>
      <c r="D400" s="222" t="s">
        <v>478</v>
      </c>
      <c r="E400" s="233" t="s">
        <v>479</v>
      </c>
      <c r="F400" s="103">
        <v>958.0</v>
      </c>
      <c r="G400" s="37">
        <v>958.0</v>
      </c>
      <c r="H400" s="37"/>
      <c r="I400" s="37">
        <v>9575.0</v>
      </c>
      <c r="J400" s="37"/>
      <c r="K400" s="37"/>
      <c r="L400" s="37"/>
      <c r="M400" s="37">
        <v>14675.0</v>
      </c>
      <c r="N400" s="130"/>
      <c r="O400" s="37"/>
      <c r="P400" s="37"/>
      <c r="Q400" s="37">
        <v>16975.0</v>
      </c>
      <c r="R400" s="105">
        <v>19995.0</v>
      </c>
      <c r="S400" s="27"/>
      <c r="T400" s="27"/>
      <c r="U400" s="27">
        <f t="shared" si="26"/>
        <v>18672.5</v>
      </c>
    </row>
    <row r="401" ht="14.25" customHeight="1">
      <c r="A401" s="99">
        <v>5.0</v>
      </c>
      <c r="B401" s="221">
        <v>5309.0</v>
      </c>
      <c r="C401" s="221">
        <v>4537.0</v>
      </c>
      <c r="D401" s="222" t="s">
        <v>480</v>
      </c>
      <c r="E401" s="233" t="s">
        <v>481</v>
      </c>
      <c r="F401" s="103">
        <v>958.0</v>
      </c>
      <c r="G401" s="37">
        <v>958.0</v>
      </c>
      <c r="H401" s="37"/>
      <c r="I401" s="37">
        <v>9575.0</v>
      </c>
      <c r="J401" s="37"/>
      <c r="K401" s="37"/>
      <c r="L401" s="37"/>
      <c r="M401" s="37">
        <v>14675.0</v>
      </c>
      <c r="N401" s="130"/>
      <c r="O401" s="37"/>
      <c r="P401" s="37"/>
      <c r="Q401" s="37">
        <v>16975.0</v>
      </c>
      <c r="R401" s="105">
        <v>19995.0</v>
      </c>
      <c r="S401" s="27"/>
      <c r="T401" s="27"/>
      <c r="U401" s="27">
        <f t="shared" si="26"/>
        <v>18672.5</v>
      </c>
    </row>
    <row r="402" ht="14.25" customHeight="1">
      <c r="A402" s="99">
        <v>6.0</v>
      </c>
      <c r="B402" s="221">
        <v>4577.0</v>
      </c>
      <c r="C402" s="221">
        <v>4000.0</v>
      </c>
      <c r="D402" s="222" t="s">
        <v>482</v>
      </c>
      <c r="E402" s="233" t="s">
        <v>483</v>
      </c>
      <c r="F402" s="103">
        <v>958.0</v>
      </c>
      <c r="G402" s="37">
        <v>958.0</v>
      </c>
      <c r="H402" s="37"/>
      <c r="I402" s="37">
        <v>9575.0</v>
      </c>
      <c r="J402" s="37"/>
      <c r="K402" s="37"/>
      <c r="L402" s="37"/>
      <c r="M402" s="37">
        <v>13575.0</v>
      </c>
      <c r="N402" s="130"/>
      <c r="O402" s="37"/>
      <c r="P402" s="37"/>
      <c r="Q402" s="37">
        <v>16975.0</v>
      </c>
      <c r="R402" s="105">
        <v>19995.0</v>
      </c>
      <c r="S402" s="27"/>
      <c r="T402" s="27"/>
      <c r="U402" s="27">
        <f t="shared" si="26"/>
        <v>18672.5</v>
      </c>
    </row>
    <row r="403" ht="14.25" customHeight="1">
      <c r="A403" s="99">
        <v>7.0</v>
      </c>
      <c r="B403" s="221">
        <v>6139.0</v>
      </c>
      <c r="C403" s="221">
        <v>5166.0</v>
      </c>
      <c r="D403" s="222" t="s">
        <v>484</v>
      </c>
      <c r="E403" s="233" t="s">
        <v>485</v>
      </c>
      <c r="F403" s="103">
        <v>1158.0</v>
      </c>
      <c r="G403" s="37">
        <v>1158.0</v>
      </c>
      <c r="H403" s="37"/>
      <c r="I403" s="37">
        <v>11575.0</v>
      </c>
      <c r="J403" s="37"/>
      <c r="K403" s="37"/>
      <c r="L403" s="37"/>
      <c r="M403" s="37">
        <v>15275.0</v>
      </c>
      <c r="N403" s="130"/>
      <c r="O403" s="37"/>
      <c r="P403" s="37"/>
      <c r="Q403" s="37">
        <v>17975.0</v>
      </c>
      <c r="R403" s="105">
        <v>19995.0</v>
      </c>
      <c r="S403" s="27"/>
      <c r="T403" s="27"/>
      <c r="U403" s="27">
        <f t="shared" si="26"/>
        <v>19772.5</v>
      </c>
    </row>
    <row r="404" ht="14.25" customHeight="1">
      <c r="A404" s="99">
        <v>8.0</v>
      </c>
      <c r="B404" s="221">
        <v>7308.0</v>
      </c>
      <c r="C404" s="221">
        <v>6032.0</v>
      </c>
      <c r="D404" s="222" t="s">
        <v>486</v>
      </c>
      <c r="E404" s="233" t="s">
        <v>487</v>
      </c>
      <c r="F404" s="37">
        <v>16575.0</v>
      </c>
      <c r="G404" s="37">
        <v>16575.0</v>
      </c>
      <c r="H404" s="37">
        <v>16575.0</v>
      </c>
      <c r="I404" s="37">
        <v>16575.0</v>
      </c>
      <c r="J404" s="37"/>
      <c r="K404" s="37"/>
      <c r="L404" s="37"/>
      <c r="M404" s="37">
        <v>16575.0</v>
      </c>
      <c r="N404" s="130"/>
      <c r="O404" s="37"/>
      <c r="P404" s="37"/>
      <c r="Q404" s="37">
        <v>17975.0</v>
      </c>
      <c r="R404" s="105">
        <v>19995.0</v>
      </c>
      <c r="S404" s="27"/>
      <c r="T404" s="27"/>
      <c r="U404" s="27">
        <f t="shared" si="26"/>
        <v>19772.5</v>
      </c>
    </row>
    <row r="405" ht="14.25" customHeight="1">
      <c r="A405" s="99">
        <v>9.0</v>
      </c>
      <c r="B405" s="221">
        <v>4782.0</v>
      </c>
      <c r="C405" s="221">
        <v>4115.0</v>
      </c>
      <c r="D405" s="222" t="s">
        <v>488</v>
      </c>
      <c r="E405" s="233" t="s">
        <v>489</v>
      </c>
      <c r="F405" s="103">
        <v>958.0</v>
      </c>
      <c r="G405" s="37">
        <v>958.0</v>
      </c>
      <c r="H405" s="37"/>
      <c r="I405" s="37">
        <v>9575.0</v>
      </c>
      <c r="J405" s="37"/>
      <c r="K405" s="37"/>
      <c r="L405" s="37"/>
      <c r="M405" s="37">
        <v>12875.0</v>
      </c>
      <c r="N405" s="130"/>
      <c r="O405" s="37"/>
      <c r="P405" s="37"/>
      <c r="Q405" s="37">
        <v>16975.0</v>
      </c>
      <c r="R405" s="105">
        <v>19995.0</v>
      </c>
      <c r="S405" s="27"/>
      <c r="T405" s="27"/>
      <c r="U405" s="27">
        <f t="shared" si="26"/>
        <v>18672.5</v>
      </c>
    </row>
    <row r="406" ht="14.25" customHeight="1">
      <c r="A406" s="99">
        <v>10.0</v>
      </c>
      <c r="B406" s="221">
        <v>6113.0</v>
      </c>
      <c r="C406" s="221">
        <v>5147.0</v>
      </c>
      <c r="D406" s="222" t="s">
        <v>490</v>
      </c>
      <c r="E406" s="233" t="s">
        <v>491</v>
      </c>
      <c r="F406" s="103">
        <v>1158.0</v>
      </c>
      <c r="G406" s="37">
        <v>1158.0</v>
      </c>
      <c r="H406" s="37"/>
      <c r="I406" s="37">
        <v>11575.0</v>
      </c>
      <c r="J406" s="37"/>
      <c r="K406" s="37"/>
      <c r="L406" s="37"/>
      <c r="M406" s="37">
        <v>15275.0</v>
      </c>
      <c r="N406" s="130"/>
      <c r="O406" s="37"/>
      <c r="P406" s="37"/>
      <c r="Q406" s="37">
        <v>16975.0</v>
      </c>
      <c r="R406" s="105">
        <v>19995.0</v>
      </c>
      <c r="S406" s="27"/>
      <c r="T406" s="27"/>
      <c r="U406" s="27">
        <f t="shared" si="26"/>
        <v>18672.5</v>
      </c>
    </row>
    <row r="407" ht="14.25" customHeight="1">
      <c r="A407" s="99">
        <v>11.0</v>
      </c>
      <c r="B407" s="221">
        <v>7524.0</v>
      </c>
      <c r="C407" s="221">
        <v>6175.0</v>
      </c>
      <c r="D407" s="222" t="s">
        <v>492</v>
      </c>
      <c r="E407" s="233"/>
      <c r="F407" s="37">
        <v>1658.0</v>
      </c>
      <c r="G407" s="37">
        <v>1658.0</v>
      </c>
      <c r="H407" s="37">
        <v>1658.0</v>
      </c>
      <c r="I407" s="37">
        <v>16575.0</v>
      </c>
      <c r="J407" s="37"/>
      <c r="K407" s="37"/>
      <c r="L407" s="37"/>
      <c r="M407" s="37">
        <v>16575.0</v>
      </c>
      <c r="N407" s="130"/>
      <c r="O407" s="37"/>
      <c r="P407" s="37"/>
      <c r="Q407" s="37">
        <v>17975.0</v>
      </c>
      <c r="R407" s="105">
        <v>19995.0</v>
      </c>
      <c r="S407" s="27"/>
      <c r="T407" s="27"/>
      <c r="U407" s="27">
        <f t="shared" si="26"/>
        <v>19772.5</v>
      </c>
    </row>
    <row r="408" ht="14.25" customHeight="1">
      <c r="A408" s="99">
        <v>12.0</v>
      </c>
      <c r="B408" s="221">
        <v>4855.0</v>
      </c>
      <c r="C408" s="221">
        <v>4174.0</v>
      </c>
      <c r="D408" s="222" t="s">
        <v>493</v>
      </c>
      <c r="E408" s="233" t="s">
        <v>494</v>
      </c>
      <c r="F408" s="103" t="s">
        <v>56</v>
      </c>
      <c r="G408" s="103" t="s">
        <v>56</v>
      </c>
      <c r="H408" s="103" t="s">
        <v>56</v>
      </c>
      <c r="I408" s="103" t="s">
        <v>56</v>
      </c>
      <c r="J408" s="103" t="s">
        <v>56</v>
      </c>
      <c r="K408" s="103" t="s">
        <v>56</v>
      </c>
      <c r="L408" s="103" t="s">
        <v>56</v>
      </c>
      <c r="M408" s="103" t="s">
        <v>56</v>
      </c>
      <c r="N408" s="103" t="s">
        <v>56</v>
      </c>
      <c r="O408" s="103" t="s">
        <v>56</v>
      </c>
      <c r="P408" s="103" t="s">
        <v>56</v>
      </c>
      <c r="Q408" s="103" t="s">
        <v>56</v>
      </c>
      <c r="R408" s="103" t="s">
        <v>56</v>
      </c>
      <c r="S408" s="103" t="s">
        <v>56</v>
      </c>
      <c r="T408" s="103" t="s">
        <v>56</v>
      </c>
      <c r="U408" s="103" t="s">
        <v>56</v>
      </c>
    </row>
    <row r="409" ht="14.25" customHeight="1">
      <c r="A409" s="99">
        <v>13.0</v>
      </c>
      <c r="B409" s="221">
        <v>5079.0</v>
      </c>
      <c r="C409" s="221">
        <v>4376.0</v>
      </c>
      <c r="D409" s="222" t="s">
        <v>495</v>
      </c>
      <c r="E409" s="233" t="s">
        <v>496</v>
      </c>
      <c r="F409" s="59">
        <v>9975.0</v>
      </c>
      <c r="G409" s="59">
        <v>9975.0</v>
      </c>
      <c r="H409" s="59"/>
      <c r="I409" s="59">
        <v>9975.0</v>
      </c>
      <c r="J409" s="37"/>
      <c r="K409" s="37"/>
      <c r="L409" s="37"/>
      <c r="M409" s="37">
        <v>14675.0</v>
      </c>
      <c r="N409" s="130"/>
      <c r="O409" s="37"/>
      <c r="P409" s="37"/>
      <c r="Q409" s="37">
        <v>16975.0</v>
      </c>
      <c r="R409" s="105">
        <v>19995.0</v>
      </c>
      <c r="S409" s="27"/>
      <c r="T409" s="27"/>
      <c r="U409" s="27">
        <f t="shared" ref="U409:U410" si="27">Q409*1.1</f>
        <v>18672.5</v>
      </c>
    </row>
    <row r="410" ht="14.25" customHeight="1">
      <c r="A410" s="99">
        <v>14.0</v>
      </c>
      <c r="B410" s="221">
        <v>5560.0</v>
      </c>
      <c r="C410" s="221">
        <v>4754.0</v>
      </c>
      <c r="D410" s="222" t="s">
        <v>497</v>
      </c>
      <c r="E410" s="233" t="s">
        <v>498</v>
      </c>
      <c r="F410" s="59">
        <v>9575.0</v>
      </c>
      <c r="G410" s="59">
        <v>958.0</v>
      </c>
      <c r="H410" s="59">
        <v>958.0</v>
      </c>
      <c r="I410" s="59"/>
      <c r="J410" s="37"/>
      <c r="K410" s="37"/>
      <c r="L410" s="37"/>
      <c r="M410" s="37">
        <v>12875.0</v>
      </c>
      <c r="N410" s="130"/>
      <c r="O410" s="37"/>
      <c r="P410" s="37"/>
      <c r="Q410" s="37">
        <v>16975.0</v>
      </c>
      <c r="R410" s="105">
        <v>19995.0</v>
      </c>
      <c r="S410" s="27"/>
      <c r="T410" s="27"/>
      <c r="U410" s="27">
        <f t="shared" si="27"/>
        <v>18672.5</v>
      </c>
    </row>
    <row r="411" ht="14.25" customHeight="1">
      <c r="A411" s="99">
        <v>15.0</v>
      </c>
      <c r="B411" s="66">
        <v>4437.0</v>
      </c>
      <c r="C411" s="66">
        <v>3877.0</v>
      </c>
      <c r="D411" s="67" t="s">
        <v>499</v>
      </c>
      <c r="E411" s="77"/>
      <c r="F411" s="103" t="s">
        <v>56</v>
      </c>
      <c r="G411" s="103" t="s">
        <v>56</v>
      </c>
      <c r="H411" s="103" t="s">
        <v>56</v>
      </c>
      <c r="I411" s="103" t="s">
        <v>56</v>
      </c>
      <c r="J411" s="103" t="s">
        <v>56</v>
      </c>
      <c r="K411" s="103" t="s">
        <v>56</v>
      </c>
      <c r="L411" s="103" t="s">
        <v>56</v>
      </c>
      <c r="M411" s="103" t="s">
        <v>56</v>
      </c>
      <c r="N411" s="103" t="s">
        <v>56</v>
      </c>
      <c r="O411" s="103" t="s">
        <v>56</v>
      </c>
      <c r="P411" s="103" t="s">
        <v>56</v>
      </c>
      <c r="Q411" s="103" t="s">
        <v>56</v>
      </c>
      <c r="R411" s="103" t="s">
        <v>56</v>
      </c>
      <c r="S411" s="103" t="s">
        <v>56</v>
      </c>
      <c r="T411" s="103" t="s">
        <v>56</v>
      </c>
      <c r="U411" s="103" t="s">
        <v>56</v>
      </c>
    </row>
    <row r="412" ht="14.25" customHeight="1">
      <c r="A412" s="99">
        <v>16.0</v>
      </c>
      <c r="B412" s="66">
        <v>7574.0</v>
      </c>
      <c r="C412" s="66">
        <v>6201.0</v>
      </c>
      <c r="D412" s="148" t="s">
        <v>500</v>
      </c>
      <c r="E412" s="37"/>
      <c r="F412" s="59"/>
      <c r="G412" s="59"/>
      <c r="H412" s="59"/>
      <c r="I412" s="59"/>
      <c r="J412" s="37"/>
      <c r="K412" s="37"/>
      <c r="L412" s="37"/>
      <c r="M412" s="37"/>
      <c r="N412" s="37">
        <v>17575.0</v>
      </c>
      <c r="O412" s="37"/>
      <c r="P412" s="37"/>
      <c r="Q412" s="37">
        <v>17575.0</v>
      </c>
      <c r="R412" s="105">
        <v>19995.0</v>
      </c>
      <c r="S412" s="27"/>
      <c r="T412" s="27"/>
      <c r="U412" s="27">
        <f t="shared" ref="U412:U415" si="28">Q412*1.1</f>
        <v>19332.5</v>
      </c>
    </row>
    <row r="413" ht="14.25" customHeight="1">
      <c r="A413" s="99">
        <v>17.0</v>
      </c>
      <c r="B413" s="43">
        <v>7683.0</v>
      </c>
      <c r="C413" s="43">
        <v>6288.0</v>
      </c>
      <c r="D413" s="30" t="s">
        <v>501</v>
      </c>
      <c r="E413" s="37"/>
      <c r="F413" s="59"/>
      <c r="G413" s="59"/>
      <c r="H413" s="59"/>
      <c r="I413" s="59"/>
      <c r="J413" s="37"/>
      <c r="K413" s="37"/>
      <c r="L413" s="37"/>
      <c r="M413" s="37"/>
      <c r="N413" s="37">
        <v>17575.0</v>
      </c>
      <c r="O413" s="37"/>
      <c r="P413" s="37"/>
      <c r="Q413" s="37">
        <v>17575.0</v>
      </c>
      <c r="R413" s="105">
        <v>19995.0</v>
      </c>
      <c r="S413" s="27"/>
      <c r="T413" s="27"/>
      <c r="U413" s="27">
        <f t="shared" si="28"/>
        <v>19332.5</v>
      </c>
    </row>
    <row r="414" ht="14.25" customHeight="1">
      <c r="A414" s="99">
        <v>18.0</v>
      </c>
      <c r="B414" s="43">
        <v>7812.0</v>
      </c>
      <c r="C414" s="43">
        <v>6372.0</v>
      </c>
      <c r="D414" s="30" t="s">
        <v>502</v>
      </c>
      <c r="E414" s="37"/>
      <c r="F414" s="59"/>
      <c r="G414" s="59"/>
      <c r="H414" s="59"/>
      <c r="I414" s="59"/>
      <c r="J414" s="37"/>
      <c r="K414" s="37"/>
      <c r="L414" s="37"/>
      <c r="M414" s="37"/>
      <c r="N414" s="37">
        <v>19575.0</v>
      </c>
      <c r="O414" s="37"/>
      <c r="P414" s="37"/>
      <c r="Q414" s="37">
        <v>17575.0</v>
      </c>
      <c r="R414" s="105">
        <v>19995.0</v>
      </c>
      <c r="S414" s="27"/>
      <c r="T414" s="27"/>
      <c r="U414" s="27">
        <f t="shared" si="28"/>
        <v>19332.5</v>
      </c>
    </row>
    <row r="415" ht="14.25" customHeight="1">
      <c r="A415" s="99">
        <v>19.0</v>
      </c>
      <c r="B415" s="43">
        <v>7813.0</v>
      </c>
      <c r="C415" s="43">
        <v>6373.0</v>
      </c>
      <c r="D415" s="30" t="s">
        <v>503</v>
      </c>
      <c r="E415" s="37"/>
      <c r="F415" s="59"/>
      <c r="G415" s="59"/>
      <c r="H415" s="59"/>
      <c r="I415" s="59"/>
      <c r="J415" s="37"/>
      <c r="K415" s="37"/>
      <c r="L415" s="37"/>
      <c r="M415" s="37"/>
      <c r="N415" s="37"/>
      <c r="O415" s="37"/>
      <c r="P415" s="37"/>
      <c r="Q415" s="37">
        <v>15000.0</v>
      </c>
      <c r="R415" s="105">
        <v>19995.0</v>
      </c>
      <c r="S415" s="27"/>
      <c r="T415" s="27"/>
      <c r="U415" s="27">
        <f t="shared" si="28"/>
        <v>16500</v>
      </c>
    </row>
    <row r="416" ht="14.25" customHeight="1">
      <c r="A416" s="99">
        <v>20.0</v>
      </c>
      <c r="B416" s="43">
        <v>7932.0</v>
      </c>
      <c r="C416" s="43">
        <v>6448.0</v>
      </c>
      <c r="D416" s="76" t="s">
        <v>504</v>
      </c>
      <c r="E416" s="37"/>
      <c r="F416" s="59"/>
      <c r="G416" s="59"/>
      <c r="H416" s="59"/>
      <c r="I416" s="59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>
        <v>17975.0</v>
      </c>
    </row>
    <row r="417" ht="14.25" customHeight="1">
      <c r="A417" s="129"/>
      <c r="B417" s="100"/>
      <c r="C417" s="100"/>
      <c r="D417" s="54"/>
      <c r="E417" s="54"/>
      <c r="F417" s="33"/>
      <c r="G417" s="33"/>
      <c r="H417" s="33"/>
      <c r="I417" s="33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</row>
    <row r="418" ht="14.25" customHeight="1">
      <c r="A418" s="234"/>
      <c r="B418" s="195"/>
      <c r="C418" s="195"/>
      <c r="D418" s="235"/>
      <c r="E418" s="235"/>
      <c r="F418" s="236"/>
      <c r="G418" s="236"/>
      <c r="H418" s="236"/>
      <c r="I418" s="236"/>
      <c r="J418" s="237"/>
      <c r="K418" s="237"/>
      <c r="L418" s="237"/>
      <c r="M418" s="237"/>
      <c r="N418" s="237"/>
      <c r="O418" s="237"/>
      <c r="P418" s="237"/>
      <c r="Q418" s="237"/>
      <c r="R418" s="3"/>
      <c r="S418" s="3"/>
    </row>
    <row r="419" ht="14.25" customHeight="1">
      <c r="A419" s="234"/>
      <c r="B419" s="195"/>
      <c r="C419" s="195"/>
      <c r="D419" s="235"/>
      <c r="E419" s="235"/>
      <c r="F419" s="236"/>
      <c r="G419" s="236"/>
      <c r="H419" s="236"/>
      <c r="I419" s="236"/>
      <c r="J419" s="237"/>
      <c r="K419" s="237"/>
      <c r="L419" s="237"/>
      <c r="M419" s="237"/>
      <c r="N419" s="237"/>
      <c r="O419" s="237"/>
      <c r="P419" s="237"/>
      <c r="Q419" s="237"/>
      <c r="R419" s="3"/>
      <c r="S419" s="3"/>
    </row>
    <row r="420" ht="14.25" customHeight="1">
      <c r="A420" s="3" t="s">
        <v>3</v>
      </c>
      <c r="B420" s="3"/>
      <c r="C420" s="3"/>
      <c r="D420" s="3"/>
      <c r="E420" s="57"/>
      <c r="F420" s="42"/>
      <c r="G420" s="42"/>
      <c r="H420" s="42"/>
      <c r="I420" s="42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ht="14.25" customHeight="1">
      <c r="A421" s="3" t="s">
        <v>4</v>
      </c>
      <c r="B421" s="3"/>
      <c r="C421" s="3"/>
      <c r="D421" s="3"/>
      <c r="E421" s="57"/>
      <c r="F421" s="42"/>
      <c r="G421" s="42"/>
      <c r="H421" s="42"/>
      <c r="I421" s="42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ht="14.25" customHeight="1">
      <c r="A422" s="162"/>
      <c r="B422" s="204"/>
      <c r="C422" s="204"/>
      <c r="D422" s="57"/>
      <c r="E422" s="57"/>
      <c r="F422" s="42"/>
      <c r="G422" s="42"/>
      <c r="H422" s="42"/>
      <c r="I422" s="42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ht="14.25" customHeight="1">
      <c r="A423" s="2" t="s">
        <v>2</v>
      </c>
    </row>
    <row r="424" ht="14.25" customHeight="1">
      <c r="A424" s="8" t="s">
        <v>505</v>
      </c>
    </row>
    <row r="425" ht="14.25" customHeight="1">
      <c r="A425" s="12" t="s">
        <v>7</v>
      </c>
    </row>
    <row r="426" ht="14.25" customHeight="1">
      <c r="A426" s="88" t="s">
        <v>8</v>
      </c>
      <c r="B426" s="88" t="s">
        <v>9</v>
      </c>
      <c r="C426" s="89" t="s">
        <v>10</v>
      </c>
      <c r="D426" s="90" t="s">
        <v>11</v>
      </c>
      <c r="E426" s="91" t="s">
        <v>12</v>
      </c>
      <c r="F426" s="180" t="s">
        <v>13</v>
      </c>
      <c r="G426" s="181"/>
      <c r="H426" s="181"/>
      <c r="I426" s="181"/>
      <c r="J426" s="182" t="s">
        <v>15</v>
      </c>
      <c r="K426" s="181"/>
      <c r="L426" s="181"/>
      <c r="M426" s="181"/>
      <c r="N426" s="183" t="s">
        <v>17</v>
      </c>
      <c r="O426" s="184"/>
      <c r="P426" s="184"/>
      <c r="Q426" s="184"/>
      <c r="R426" s="52" t="s">
        <v>18</v>
      </c>
      <c r="S426" s="16"/>
      <c r="T426" s="16"/>
      <c r="U426" s="17"/>
    </row>
    <row r="427" ht="14.25" customHeight="1">
      <c r="A427" s="22"/>
      <c r="B427" s="22"/>
      <c r="C427" s="22"/>
      <c r="D427" s="22"/>
      <c r="E427" s="22"/>
      <c r="F427" s="25" t="s">
        <v>20</v>
      </c>
      <c r="G427" s="25" t="s">
        <v>21</v>
      </c>
      <c r="H427" s="25" t="s">
        <v>22</v>
      </c>
      <c r="I427" s="25" t="s">
        <v>23</v>
      </c>
      <c r="J427" s="25" t="s">
        <v>20</v>
      </c>
      <c r="K427" s="25" t="s">
        <v>21</v>
      </c>
      <c r="L427" s="25" t="s">
        <v>22</v>
      </c>
      <c r="M427" s="25" t="s">
        <v>23</v>
      </c>
      <c r="N427" s="25" t="s">
        <v>20</v>
      </c>
      <c r="O427" s="25" t="s">
        <v>21</v>
      </c>
      <c r="P427" s="25" t="s">
        <v>22</v>
      </c>
      <c r="Q427" s="25" t="s">
        <v>23</v>
      </c>
      <c r="R427" s="25" t="s">
        <v>20</v>
      </c>
      <c r="S427" s="25" t="s">
        <v>21</v>
      </c>
      <c r="T427" s="25" t="s">
        <v>22</v>
      </c>
      <c r="U427" s="25" t="s">
        <v>23</v>
      </c>
    </row>
    <row r="428" ht="14.25" customHeight="1">
      <c r="A428" s="99">
        <v>1.0</v>
      </c>
      <c r="B428" s="221">
        <v>4554.0</v>
      </c>
      <c r="C428" s="221">
        <v>3990.0</v>
      </c>
      <c r="D428" s="222" t="s">
        <v>506</v>
      </c>
      <c r="E428" s="233" t="s">
        <v>507</v>
      </c>
      <c r="F428" s="103">
        <v>958.0</v>
      </c>
      <c r="G428" s="37">
        <v>958.0</v>
      </c>
      <c r="H428" s="37"/>
      <c r="I428" s="37"/>
      <c r="J428" s="37"/>
      <c r="K428" s="37"/>
      <c r="L428" s="37"/>
      <c r="M428" s="37">
        <v>4144.0</v>
      </c>
      <c r="N428" s="130" t="s">
        <v>414</v>
      </c>
      <c r="O428" s="37"/>
      <c r="P428" s="37"/>
      <c r="Q428" s="77">
        <v>5092.0</v>
      </c>
      <c r="R428" s="131">
        <v>19995.0</v>
      </c>
      <c r="S428" s="37"/>
      <c r="T428" s="37"/>
      <c r="U428" s="238"/>
      <c r="W428" s="37" t="s">
        <v>414</v>
      </c>
    </row>
    <row r="429" ht="14.25" customHeight="1">
      <c r="A429" s="99">
        <v>2.0</v>
      </c>
      <c r="B429" s="221">
        <v>4710.0</v>
      </c>
      <c r="C429" s="221">
        <v>4074.0</v>
      </c>
      <c r="D429" s="222" t="s">
        <v>508</v>
      </c>
      <c r="E429" s="233" t="s">
        <v>509</v>
      </c>
      <c r="F429" s="103">
        <v>958.0</v>
      </c>
      <c r="G429" s="37">
        <v>958.0</v>
      </c>
      <c r="H429" s="37"/>
      <c r="I429" s="37">
        <v>9575.0</v>
      </c>
      <c r="J429" s="37"/>
      <c r="K429" s="37"/>
      <c r="L429" s="37"/>
      <c r="M429" s="37">
        <v>13875.0</v>
      </c>
      <c r="N429" s="130"/>
      <c r="O429" s="37"/>
      <c r="P429" s="37"/>
      <c r="Q429" s="104">
        <v>16975.0</v>
      </c>
      <c r="R429" s="131">
        <v>19995.0</v>
      </c>
      <c r="S429" s="37"/>
      <c r="T429" s="37"/>
      <c r="U429" s="37">
        <f t="shared" ref="U429:U443" si="29">Q429*1.1</f>
        <v>18672.5</v>
      </c>
    </row>
    <row r="430" ht="14.25" customHeight="1">
      <c r="A430" s="99">
        <v>3.0</v>
      </c>
      <c r="B430" s="221">
        <v>6641.0</v>
      </c>
      <c r="C430" s="221">
        <v>5514.0</v>
      </c>
      <c r="D430" s="222" t="s">
        <v>510</v>
      </c>
      <c r="E430" s="233" t="s">
        <v>511</v>
      </c>
      <c r="F430" s="103">
        <v>1058.0</v>
      </c>
      <c r="G430" s="37">
        <v>1058.0</v>
      </c>
      <c r="H430" s="37">
        <v>1058.0</v>
      </c>
      <c r="I430" s="37">
        <v>10575.0</v>
      </c>
      <c r="J430" s="37"/>
      <c r="K430" s="37"/>
      <c r="L430" s="37"/>
      <c r="M430" s="37">
        <v>15175.0</v>
      </c>
      <c r="N430" s="130"/>
      <c r="O430" s="37"/>
      <c r="P430" s="37"/>
      <c r="Q430" s="104">
        <v>17975.0</v>
      </c>
      <c r="R430" s="131">
        <v>19995.0</v>
      </c>
      <c r="S430" s="37"/>
      <c r="T430" s="37"/>
      <c r="U430" s="37">
        <f t="shared" si="29"/>
        <v>19772.5</v>
      </c>
    </row>
    <row r="431" ht="14.25" customHeight="1">
      <c r="A431" s="99">
        <v>4.0</v>
      </c>
      <c r="B431" s="221">
        <v>4613.0</v>
      </c>
      <c r="C431" s="221">
        <v>4033.0</v>
      </c>
      <c r="D431" s="222" t="s">
        <v>512</v>
      </c>
      <c r="E431" s="233" t="s">
        <v>513</v>
      </c>
      <c r="F431" s="103">
        <v>9575.0</v>
      </c>
      <c r="G431" s="37">
        <v>9575.0</v>
      </c>
      <c r="H431" s="37"/>
      <c r="I431" s="37">
        <v>9575.0</v>
      </c>
      <c r="J431" s="37"/>
      <c r="K431" s="37"/>
      <c r="L431" s="37"/>
      <c r="M431" s="37">
        <v>14675.0</v>
      </c>
      <c r="N431" s="130"/>
      <c r="O431" s="37"/>
      <c r="P431" s="37"/>
      <c r="Q431" s="104">
        <v>16975.0</v>
      </c>
      <c r="R431" s="131">
        <v>19995.0</v>
      </c>
      <c r="S431" s="37"/>
      <c r="T431" s="37"/>
      <c r="U431" s="37">
        <f t="shared" si="29"/>
        <v>18672.5</v>
      </c>
    </row>
    <row r="432" ht="14.25" customHeight="1">
      <c r="A432" s="99">
        <v>5.0</v>
      </c>
      <c r="B432" s="221">
        <v>6879.0</v>
      </c>
      <c r="C432" s="221">
        <v>5697.0</v>
      </c>
      <c r="D432" s="222" t="s">
        <v>514</v>
      </c>
      <c r="E432" s="233" t="s">
        <v>515</v>
      </c>
      <c r="F432" s="103">
        <v>1158.0</v>
      </c>
      <c r="G432" s="37">
        <v>1158.0</v>
      </c>
      <c r="H432" s="37">
        <v>1158.0</v>
      </c>
      <c r="I432" s="37">
        <v>11575.0</v>
      </c>
      <c r="J432" s="37"/>
      <c r="K432" s="37"/>
      <c r="L432" s="37"/>
      <c r="M432" s="37">
        <v>15775.0</v>
      </c>
      <c r="N432" s="130"/>
      <c r="O432" s="37"/>
      <c r="P432" s="37"/>
      <c r="Q432" s="104">
        <v>17975.0</v>
      </c>
      <c r="R432" s="131">
        <v>19995.0</v>
      </c>
      <c r="S432" s="37"/>
      <c r="T432" s="37"/>
      <c r="U432" s="37">
        <f t="shared" si="29"/>
        <v>19772.5</v>
      </c>
    </row>
    <row r="433" ht="14.25" customHeight="1">
      <c r="A433" s="99">
        <v>6.0</v>
      </c>
      <c r="B433" s="221">
        <v>5116.0</v>
      </c>
      <c r="C433" s="221">
        <v>4407.0</v>
      </c>
      <c r="D433" s="222" t="s">
        <v>516</v>
      </c>
      <c r="E433" s="233" t="s">
        <v>517</v>
      </c>
      <c r="F433" s="103">
        <v>758.0</v>
      </c>
      <c r="G433" s="37">
        <v>758.0</v>
      </c>
      <c r="H433" s="37"/>
      <c r="I433" s="37">
        <v>7575.0</v>
      </c>
      <c r="J433" s="37"/>
      <c r="K433" s="37"/>
      <c r="L433" s="37"/>
      <c r="M433" s="37">
        <v>13575.0</v>
      </c>
      <c r="N433" s="130"/>
      <c r="O433" s="37"/>
      <c r="P433" s="37"/>
      <c r="Q433" s="104">
        <v>16975.0</v>
      </c>
      <c r="R433" s="131">
        <v>19995.0</v>
      </c>
      <c r="S433" s="37"/>
      <c r="T433" s="37"/>
      <c r="U433" s="37">
        <f t="shared" si="29"/>
        <v>18672.5</v>
      </c>
    </row>
    <row r="434" ht="14.25" customHeight="1">
      <c r="A434" s="99">
        <v>7.0</v>
      </c>
      <c r="B434" s="221">
        <v>6234.0</v>
      </c>
      <c r="C434" s="221">
        <v>5210.0</v>
      </c>
      <c r="D434" s="222" t="s">
        <v>518</v>
      </c>
      <c r="E434" s="233" t="s">
        <v>519</v>
      </c>
      <c r="F434" s="103">
        <v>958.0</v>
      </c>
      <c r="G434" s="37">
        <v>958.0</v>
      </c>
      <c r="H434" s="37"/>
      <c r="I434" s="37">
        <v>9575.0</v>
      </c>
      <c r="J434" s="37"/>
      <c r="K434" s="37"/>
      <c r="L434" s="37"/>
      <c r="M434" s="37">
        <v>13875.0</v>
      </c>
      <c r="N434" s="130"/>
      <c r="O434" s="37"/>
      <c r="P434" s="37"/>
      <c r="Q434" s="104">
        <v>16975.0</v>
      </c>
      <c r="R434" s="131">
        <v>19995.0</v>
      </c>
      <c r="S434" s="37"/>
      <c r="T434" s="37"/>
      <c r="U434" s="37">
        <f t="shared" si="29"/>
        <v>18672.5</v>
      </c>
    </row>
    <row r="435" ht="14.25" customHeight="1">
      <c r="A435" s="99">
        <v>8.0</v>
      </c>
      <c r="B435" s="221">
        <v>6744.0</v>
      </c>
      <c r="C435" s="221">
        <v>5603.0</v>
      </c>
      <c r="D435" s="222" t="s">
        <v>520</v>
      </c>
      <c r="E435" s="233" t="s">
        <v>521</v>
      </c>
      <c r="F435" s="103">
        <v>1258.0</v>
      </c>
      <c r="G435" s="37">
        <v>1258.0</v>
      </c>
      <c r="H435" s="37">
        <v>1258.0</v>
      </c>
      <c r="I435" s="37">
        <v>12575.0</v>
      </c>
      <c r="J435" s="37"/>
      <c r="K435" s="37"/>
      <c r="L435" s="37"/>
      <c r="M435" s="37">
        <v>16575.0</v>
      </c>
      <c r="N435" s="130"/>
      <c r="O435" s="37"/>
      <c r="P435" s="37"/>
      <c r="Q435" s="104">
        <v>18975.0</v>
      </c>
      <c r="R435" s="131">
        <v>19995.0</v>
      </c>
      <c r="S435" s="37"/>
      <c r="T435" s="37"/>
      <c r="U435" s="37">
        <f t="shared" si="29"/>
        <v>20872.5</v>
      </c>
    </row>
    <row r="436" ht="14.25" customHeight="1">
      <c r="A436" s="99">
        <v>9.0</v>
      </c>
      <c r="B436" s="221">
        <v>7294.0</v>
      </c>
      <c r="C436" s="221">
        <v>6016.0</v>
      </c>
      <c r="D436" s="222" t="s">
        <v>522</v>
      </c>
      <c r="E436" s="233" t="s">
        <v>523</v>
      </c>
      <c r="F436" s="37">
        <v>15575.0</v>
      </c>
      <c r="G436" s="37"/>
      <c r="H436" s="37"/>
      <c r="I436" s="37">
        <v>15575.0</v>
      </c>
      <c r="J436" s="37"/>
      <c r="K436" s="37"/>
      <c r="L436" s="37"/>
      <c r="M436" s="37">
        <v>15575.0</v>
      </c>
      <c r="N436" s="130"/>
      <c r="O436" s="37"/>
      <c r="P436" s="37"/>
      <c r="Q436" s="104">
        <v>17975.0</v>
      </c>
      <c r="R436" s="131">
        <v>19995.0</v>
      </c>
      <c r="S436" s="37"/>
      <c r="T436" s="37"/>
      <c r="U436" s="37">
        <f t="shared" si="29"/>
        <v>19772.5</v>
      </c>
    </row>
    <row r="437" ht="14.25" customHeight="1">
      <c r="A437" s="99">
        <v>10.0</v>
      </c>
      <c r="B437" s="221">
        <v>4533.0</v>
      </c>
      <c r="C437" s="221">
        <v>3973.0</v>
      </c>
      <c r="D437" s="222" t="s">
        <v>524</v>
      </c>
      <c r="E437" s="233" t="s">
        <v>525</v>
      </c>
      <c r="F437" s="103">
        <v>908.0</v>
      </c>
      <c r="G437" s="37">
        <v>908.0</v>
      </c>
      <c r="H437" s="37"/>
      <c r="I437" s="37">
        <v>9575.0</v>
      </c>
      <c r="J437" s="37"/>
      <c r="K437" s="37"/>
      <c r="L437" s="37"/>
      <c r="M437" s="37">
        <v>13875.0</v>
      </c>
      <c r="N437" s="130"/>
      <c r="O437" s="37"/>
      <c r="P437" s="37"/>
      <c r="Q437" s="104">
        <v>16975.0</v>
      </c>
      <c r="R437" s="131">
        <v>19995.0</v>
      </c>
      <c r="S437" s="37"/>
      <c r="T437" s="37"/>
      <c r="U437" s="37">
        <f t="shared" si="29"/>
        <v>18672.5</v>
      </c>
    </row>
    <row r="438" ht="14.25" customHeight="1">
      <c r="A438" s="99">
        <v>11.0</v>
      </c>
      <c r="B438" s="239">
        <v>4574.0</v>
      </c>
      <c r="C438" s="239">
        <v>3998.0</v>
      </c>
      <c r="D438" s="240" t="s">
        <v>526</v>
      </c>
      <c r="E438" s="241" t="s">
        <v>527</v>
      </c>
      <c r="F438" s="103">
        <v>958.0</v>
      </c>
      <c r="G438" s="37">
        <v>958.0</v>
      </c>
      <c r="H438" s="37"/>
      <c r="I438" s="37">
        <v>9575.0</v>
      </c>
      <c r="J438" s="37"/>
      <c r="K438" s="37"/>
      <c r="L438" s="37"/>
      <c r="M438" s="37">
        <v>13875.0</v>
      </c>
      <c r="N438" s="130"/>
      <c r="O438" s="37"/>
      <c r="P438" s="37"/>
      <c r="Q438" s="104">
        <v>16975.0</v>
      </c>
      <c r="R438" s="131">
        <v>19995.0</v>
      </c>
      <c r="S438" s="37"/>
      <c r="T438" s="37"/>
      <c r="U438" s="37">
        <f t="shared" si="29"/>
        <v>18672.5</v>
      </c>
    </row>
    <row r="439" ht="14.25" customHeight="1">
      <c r="A439" s="99">
        <v>12.0</v>
      </c>
      <c r="B439" s="221">
        <v>5801.0</v>
      </c>
      <c r="C439" s="221">
        <v>4901.0</v>
      </c>
      <c r="D439" s="222" t="s">
        <v>528</v>
      </c>
      <c r="E439" s="233" t="s">
        <v>529</v>
      </c>
      <c r="F439" s="103">
        <v>1058.0</v>
      </c>
      <c r="G439" s="37">
        <v>1058.0</v>
      </c>
      <c r="H439" s="37"/>
      <c r="I439" s="37">
        <v>11575.0</v>
      </c>
      <c r="J439" s="37"/>
      <c r="K439" s="37"/>
      <c r="L439" s="37"/>
      <c r="M439" s="37">
        <v>14075.0</v>
      </c>
      <c r="N439" s="130"/>
      <c r="O439" s="37"/>
      <c r="P439" s="37"/>
      <c r="Q439" s="104">
        <v>16975.0</v>
      </c>
      <c r="R439" s="131">
        <v>19995.0</v>
      </c>
      <c r="S439" s="37"/>
      <c r="T439" s="37"/>
      <c r="U439" s="37">
        <f t="shared" si="29"/>
        <v>18672.5</v>
      </c>
    </row>
    <row r="440" ht="14.25" customHeight="1">
      <c r="A440" s="99">
        <v>13.0</v>
      </c>
      <c r="B440" s="221">
        <v>6258.0</v>
      </c>
      <c r="C440" s="221">
        <v>5225.0</v>
      </c>
      <c r="D440" s="222" t="s">
        <v>530</v>
      </c>
      <c r="E440" s="233" t="s">
        <v>531</v>
      </c>
      <c r="F440" s="103">
        <v>1158.0</v>
      </c>
      <c r="G440" s="37">
        <v>1158.0</v>
      </c>
      <c r="H440" s="37"/>
      <c r="I440" s="37">
        <v>11575.0</v>
      </c>
      <c r="J440" s="37"/>
      <c r="K440" s="37"/>
      <c r="L440" s="37"/>
      <c r="M440" s="37">
        <v>15275.0</v>
      </c>
      <c r="N440" s="130"/>
      <c r="O440" s="37"/>
      <c r="P440" s="37"/>
      <c r="Q440" s="104">
        <v>17975.0</v>
      </c>
      <c r="R440" s="131">
        <v>19995.0</v>
      </c>
      <c r="S440" s="37"/>
      <c r="T440" s="37"/>
      <c r="U440" s="37">
        <f t="shared" si="29"/>
        <v>19772.5</v>
      </c>
    </row>
    <row r="441" ht="14.25" customHeight="1">
      <c r="A441" s="99">
        <v>14.0</v>
      </c>
      <c r="B441" s="221">
        <v>4971.0</v>
      </c>
      <c r="C441" s="221">
        <v>4286.0</v>
      </c>
      <c r="D441" s="222" t="s">
        <v>532</v>
      </c>
      <c r="E441" s="233" t="s">
        <v>533</v>
      </c>
      <c r="F441" s="103">
        <v>958.0</v>
      </c>
      <c r="G441" s="37">
        <v>958.0</v>
      </c>
      <c r="H441" s="37"/>
      <c r="I441" s="37">
        <v>9575.0</v>
      </c>
      <c r="J441" s="37"/>
      <c r="K441" s="37"/>
      <c r="L441" s="37"/>
      <c r="M441" s="37">
        <v>13875.0</v>
      </c>
      <c r="N441" s="130"/>
      <c r="O441" s="37"/>
      <c r="P441" s="37"/>
      <c r="Q441" s="104">
        <v>16975.0</v>
      </c>
      <c r="R441" s="131">
        <v>19995.0</v>
      </c>
      <c r="S441" s="37"/>
      <c r="T441" s="37"/>
      <c r="U441" s="37">
        <f t="shared" si="29"/>
        <v>18672.5</v>
      </c>
    </row>
    <row r="442" ht="14.25" customHeight="1">
      <c r="A442" s="99">
        <v>15.0</v>
      </c>
      <c r="B442" s="221">
        <v>5119.0</v>
      </c>
      <c r="C442" s="221">
        <v>4402.0</v>
      </c>
      <c r="D442" s="222" t="s">
        <v>534</v>
      </c>
      <c r="E442" s="233" t="s">
        <v>535</v>
      </c>
      <c r="F442" s="103">
        <v>9575.0</v>
      </c>
      <c r="G442" s="37">
        <v>9575.0</v>
      </c>
      <c r="H442" s="37">
        <v>9575.0</v>
      </c>
      <c r="I442" s="37">
        <v>13775.0</v>
      </c>
      <c r="J442" s="37"/>
      <c r="K442" s="37"/>
      <c r="L442" s="37"/>
      <c r="M442" s="37">
        <v>13775.0</v>
      </c>
      <c r="N442" s="130"/>
      <c r="O442" s="37"/>
      <c r="P442" s="37"/>
      <c r="Q442" s="104">
        <v>16975.0</v>
      </c>
      <c r="R442" s="131">
        <v>19995.0</v>
      </c>
      <c r="S442" s="37"/>
      <c r="T442" s="37"/>
      <c r="U442" s="37">
        <f t="shared" si="29"/>
        <v>18672.5</v>
      </c>
    </row>
    <row r="443" ht="14.25" customHeight="1">
      <c r="A443" s="99">
        <v>16.0</v>
      </c>
      <c r="B443" s="221">
        <v>4623.0</v>
      </c>
      <c r="C443" s="221">
        <v>4080.0</v>
      </c>
      <c r="D443" s="222" t="s">
        <v>536</v>
      </c>
      <c r="E443" s="233" t="s">
        <v>537</v>
      </c>
      <c r="F443" s="211">
        <v>958.0</v>
      </c>
      <c r="G443" s="212">
        <v>958.0</v>
      </c>
      <c r="H443" s="212"/>
      <c r="I443" s="212">
        <v>9575.0</v>
      </c>
      <c r="J443" s="130"/>
      <c r="K443" s="37"/>
      <c r="L443" s="37"/>
      <c r="M443" s="37">
        <v>13875.0</v>
      </c>
      <c r="N443" s="130"/>
      <c r="O443" s="37"/>
      <c r="P443" s="37"/>
      <c r="Q443" s="104">
        <v>16975.0</v>
      </c>
      <c r="R443" s="131">
        <v>19995.0</v>
      </c>
      <c r="S443" s="37"/>
      <c r="T443" s="37"/>
      <c r="U443" s="37">
        <f t="shared" si="29"/>
        <v>18672.5</v>
      </c>
    </row>
    <row r="444" ht="14.25" customHeight="1">
      <c r="A444" s="99">
        <v>17.0</v>
      </c>
      <c r="B444" s="221">
        <v>5172.0</v>
      </c>
      <c r="C444" s="221">
        <v>4449.0</v>
      </c>
      <c r="D444" s="222" t="s">
        <v>538</v>
      </c>
      <c r="E444" s="233" t="s">
        <v>539</v>
      </c>
      <c r="F444" s="103" t="s">
        <v>56</v>
      </c>
      <c r="G444" s="103" t="s">
        <v>56</v>
      </c>
      <c r="H444" s="103" t="s">
        <v>56</v>
      </c>
      <c r="I444" s="103" t="s">
        <v>56</v>
      </c>
      <c r="J444" s="103" t="s">
        <v>56</v>
      </c>
      <c r="K444" s="103" t="s">
        <v>56</v>
      </c>
      <c r="L444" s="103" t="s">
        <v>56</v>
      </c>
      <c r="M444" s="103" t="s">
        <v>56</v>
      </c>
      <c r="N444" s="103" t="s">
        <v>56</v>
      </c>
      <c r="O444" s="103" t="s">
        <v>56</v>
      </c>
      <c r="P444" s="103" t="s">
        <v>56</v>
      </c>
      <c r="Q444" s="103" t="s">
        <v>56</v>
      </c>
      <c r="R444" s="103" t="s">
        <v>56</v>
      </c>
      <c r="S444" s="103" t="s">
        <v>56</v>
      </c>
      <c r="T444" s="103" t="s">
        <v>56</v>
      </c>
      <c r="U444" s="103" t="s">
        <v>56</v>
      </c>
    </row>
    <row r="445" ht="14.25" customHeight="1">
      <c r="A445" s="99">
        <v>18.0</v>
      </c>
      <c r="B445" s="221">
        <v>5051.0</v>
      </c>
      <c r="C445" s="221">
        <v>4359.0</v>
      </c>
      <c r="D445" s="242" t="s">
        <v>540</v>
      </c>
      <c r="E445" s="233" t="s">
        <v>541</v>
      </c>
      <c r="F445" s="142">
        <v>958.0</v>
      </c>
      <c r="G445" s="185">
        <v>958.0</v>
      </c>
      <c r="H445" s="185"/>
      <c r="I445" s="185">
        <v>9575.0</v>
      </c>
      <c r="J445" s="130"/>
      <c r="K445" s="130"/>
      <c r="L445" s="130"/>
      <c r="M445" s="130">
        <v>13875.0</v>
      </c>
      <c r="N445" s="130"/>
      <c r="O445" s="37"/>
      <c r="P445" s="37"/>
      <c r="Q445" s="104">
        <v>16975.0</v>
      </c>
      <c r="R445" s="131">
        <v>19995.0</v>
      </c>
      <c r="S445" s="37"/>
      <c r="T445" s="37"/>
      <c r="U445" s="37">
        <f>Q445*1.1</f>
        <v>18672.5</v>
      </c>
    </row>
    <row r="446" ht="14.25" customHeight="1">
      <c r="A446" s="99">
        <v>19.0</v>
      </c>
      <c r="B446" s="221">
        <v>5955.0</v>
      </c>
      <c r="C446" s="221">
        <v>5039.0</v>
      </c>
      <c r="D446" s="243" t="s">
        <v>542</v>
      </c>
      <c r="E446" s="99" t="s">
        <v>543</v>
      </c>
      <c r="F446" s="37" t="s">
        <v>56</v>
      </c>
      <c r="G446" s="37" t="s">
        <v>56</v>
      </c>
      <c r="H446" s="37" t="s">
        <v>56</v>
      </c>
      <c r="I446" s="37" t="s">
        <v>56</v>
      </c>
      <c r="J446" s="37" t="s">
        <v>56</v>
      </c>
      <c r="K446" s="37" t="s">
        <v>56</v>
      </c>
      <c r="L446" s="37" t="s">
        <v>56</v>
      </c>
      <c r="M446" s="37" t="s">
        <v>56</v>
      </c>
      <c r="N446" s="103" t="s">
        <v>56</v>
      </c>
      <c r="O446" s="103" t="s">
        <v>56</v>
      </c>
      <c r="P446" s="103" t="s">
        <v>56</v>
      </c>
      <c r="Q446" s="103" t="s">
        <v>56</v>
      </c>
      <c r="R446" s="103" t="s">
        <v>56</v>
      </c>
      <c r="S446" s="103" t="s">
        <v>56</v>
      </c>
      <c r="T446" s="103" t="s">
        <v>56</v>
      </c>
      <c r="U446" s="103" t="s">
        <v>56</v>
      </c>
    </row>
    <row r="447" ht="14.25" customHeight="1">
      <c r="A447" s="88" t="s">
        <v>8</v>
      </c>
      <c r="B447" s="88" t="s">
        <v>9</v>
      </c>
      <c r="C447" s="89" t="s">
        <v>10</v>
      </c>
      <c r="D447" s="90" t="s">
        <v>11</v>
      </c>
      <c r="E447" s="91" t="s">
        <v>12</v>
      </c>
      <c r="F447" s="180" t="s">
        <v>13</v>
      </c>
      <c r="G447" s="181"/>
      <c r="H447" s="181"/>
      <c r="I447" s="181"/>
      <c r="J447" s="182" t="s">
        <v>15</v>
      </c>
      <c r="K447" s="181"/>
      <c r="L447" s="181"/>
      <c r="M447" s="181"/>
      <c r="N447" s="183" t="s">
        <v>17</v>
      </c>
      <c r="O447" s="184"/>
      <c r="P447" s="184"/>
      <c r="Q447" s="184"/>
      <c r="R447" s="52" t="s">
        <v>18</v>
      </c>
      <c r="S447" s="16"/>
      <c r="T447" s="16"/>
      <c r="U447" s="17"/>
    </row>
    <row r="448" ht="14.25" customHeight="1">
      <c r="A448" s="22"/>
      <c r="B448" s="22"/>
      <c r="C448" s="22"/>
      <c r="D448" s="22"/>
      <c r="E448" s="22"/>
      <c r="F448" s="25" t="s">
        <v>20</v>
      </c>
      <c r="G448" s="25" t="s">
        <v>21</v>
      </c>
      <c r="H448" s="25" t="s">
        <v>22</v>
      </c>
      <c r="I448" s="25" t="s">
        <v>23</v>
      </c>
      <c r="J448" s="25" t="s">
        <v>20</v>
      </c>
      <c r="K448" s="25" t="s">
        <v>21</v>
      </c>
      <c r="L448" s="25" t="s">
        <v>22</v>
      </c>
      <c r="M448" s="25" t="s">
        <v>23</v>
      </c>
      <c r="N448" s="25" t="s">
        <v>20</v>
      </c>
      <c r="O448" s="25" t="s">
        <v>21</v>
      </c>
      <c r="P448" s="25" t="s">
        <v>22</v>
      </c>
      <c r="Q448" s="25" t="s">
        <v>23</v>
      </c>
      <c r="R448" s="25" t="s">
        <v>20</v>
      </c>
      <c r="S448" s="25" t="s">
        <v>21</v>
      </c>
      <c r="T448" s="25" t="s">
        <v>22</v>
      </c>
      <c r="U448" s="25" t="s">
        <v>23</v>
      </c>
    </row>
    <row r="449" ht="14.25" customHeight="1">
      <c r="A449" s="99">
        <v>20.0</v>
      </c>
      <c r="B449" s="221">
        <v>5115.0</v>
      </c>
      <c r="C449" s="221">
        <v>4406.0</v>
      </c>
      <c r="D449" s="243" t="s">
        <v>544</v>
      </c>
      <c r="E449" s="99" t="s">
        <v>545</v>
      </c>
      <c r="F449" s="37">
        <v>958.0</v>
      </c>
      <c r="G449" s="37">
        <v>958.0</v>
      </c>
      <c r="H449" s="37"/>
      <c r="I449" s="37">
        <v>9575.0</v>
      </c>
      <c r="J449" s="37"/>
      <c r="K449" s="37"/>
      <c r="L449" s="37"/>
      <c r="M449" s="37">
        <v>13875.0</v>
      </c>
      <c r="N449" s="130"/>
      <c r="O449" s="37"/>
      <c r="P449" s="37"/>
      <c r="Q449" s="104">
        <v>16975.0</v>
      </c>
      <c r="R449" s="131">
        <v>19995.0</v>
      </c>
      <c r="S449" s="37"/>
      <c r="T449" s="37"/>
      <c r="U449" s="37">
        <f>Q449*1.1</f>
        <v>18672.5</v>
      </c>
    </row>
    <row r="450" ht="14.25" customHeight="1">
      <c r="A450" s="99">
        <v>21.0</v>
      </c>
      <c r="B450" s="66">
        <v>5076.0</v>
      </c>
      <c r="C450" s="66">
        <v>4369.0</v>
      </c>
      <c r="D450" s="67" t="s">
        <v>546</v>
      </c>
      <c r="E450" s="68" t="s">
        <v>547</v>
      </c>
      <c r="F450" s="103" t="s">
        <v>56</v>
      </c>
      <c r="G450" s="103" t="s">
        <v>56</v>
      </c>
      <c r="H450" s="103" t="s">
        <v>56</v>
      </c>
      <c r="I450" s="103" t="s">
        <v>56</v>
      </c>
      <c r="J450" s="103" t="s">
        <v>56</v>
      </c>
      <c r="K450" s="103" t="s">
        <v>56</v>
      </c>
      <c r="L450" s="103" t="s">
        <v>56</v>
      </c>
      <c r="M450" s="103" t="s">
        <v>56</v>
      </c>
      <c r="N450" s="103" t="s">
        <v>56</v>
      </c>
      <c r="O450" s="103" t="s">
        <v>56</v>
      </c>
      <c r="P450" s="103" t="s">
        <v>56</v>
      </c>
      <c r="Q450" s="142" t="s">
        <v>56</v>
      </c>
      <c r="R450" s="103" t="s">
        <v>56</v>
      </c>
      <c r="S450" s="103" t="s">
        <v>56</v>
      </c>
      <c r="T450" s="103" t="s">
        <v>56</v>
      </c>
      <c r="U450" s="103" t="s">
        <v>56</v>
      </c>
    </row>
    <row r="451" ht="14.25" customHeight="1">
      <c r="A451" s="99">
        <v>22.0</v>
      </c>
      <c r="B451" s="66">
        <v>6464.0</v>
      </c>
      <c r="C451" s="66">
        <v>5387.0</v>
      </c>
      <c r="D451" s="148" t="s">
        <v>548</v>
      </c>
      <c r="E451" s="114" t="s">
        <v>549</v>
      </c>
      <c r="F451" s="103" t="s">
        <v>56</v>
      </c>
      <c r="G451" s="103" t="s">
        <v>56</v>
      </c>
      <c r="H451" s="103" t="s">
        <v>56</v>
      </c>
      <c r="I451" s="103" t="s">
        <v>56</v>
      </c>
      <c r="J451" s="103" t="s">
        <v>56</v>
      </c>
      <c r="K451" s="103" t="s">
        <v>56</v>
      </c>
      <c r="L451" s="103" t="s">
        <v>56</v>
      </c>
      <c r="M451" s="103" t="s">
        <v>56</v>
      </c>
      <c r="N451" s="103" t="s">
        <v>56</v>
      </c>
      <c r="O451" s="103" t="s">
        <v>56</v>
      </c>
      <c r="P451" s="103" t="s">
        <v>56</v>
      </c>
      <c r="Q451" s="142" t="s">
        <v>56</v>
      </c>
      <c r="R451" s="103" t="s">
        <v>56</v>
      </c>
      <c r="S451" s="103" t="s">
        <v>56</v>
      </c>
      <c r="T451" s="103" t="s">
        <v>56</v>
      </c>
      <c r="U451" s="103" t="s">
        <v>56</v>
      </c>
    </row>
    <row r="452" ht="14.25" customHeight="1">
      <c r="A452" s="99">
        <v>23.0</v>
      </c>
      <c r="B452" s="29">
        <v>7648.0</v>
      </c>
      <c r="C452" s="29">
        <v>6258.0</v>
      </c>
      <c r="D452" s="30" t="s">
        <v>550</v>
      </c>
      <c r="E452" s="37"/>
      <c r="F452" s="45"/>
      <c r="G452" s="63"/>
      <c r="H452" s="63"/>
      <c r="I452" s="43"/>
      <c r="J452" s="147"/>
      <c r="K452" s="43"/>
      <c r="L452" s="43"/>
      <c r="M452" s="43"/>
      <c r="N452" s="37">
        <v>18575.0</v>
      </c>
      <c r="O452" s="37"/>
      <c r="P452" s="244"/>
      <c r="Q452" s="244">
        <v>18575.0</v>
      </c>
      <c r="R452" s="131">
        <v>19995.0</v>
      </c>
      <c r="S452" s="37"/>
      <c r="T452" s="37"/>
      <c r="U452" s="37">
        <f>Q452*1.1</f>
        <v>20432.5</v>
      </c>
    </row>
    <row r="453" ht="14.25" customHeight="1">
      <c r="A453" s="99">
        <v>24.0</v>
      </c>
      <c r="B453" s="29">
        <v>7916.0</v>
      </c>
      <c r="C453" s="29">
        <v>6436.0</v>
      </c>
      <c r="D453" s="30" t="s">
        <v>551</v>
      </c>
      <c r="E453" s="37"/>
      <c r="F453" s="45"/>
      <c r="G453" s="63"/>
      <c r="H453" s="63"/>
      <c r="I453" s="43"/>
      <c r="J453" s="147"/>
      <c r="K453" s="43"/>
      <c r="L453" s="43"/>
      <c r="M453" s="43"/>
      <c r="N453" s="37"/>
      <c r="O453" s="37"/>
      <c r="P453" s="244"/>
      <c r="Q453" s="244"/>
      <c r="R453" s="37"/>
      <c r="S453" s="37"/>
      <c r="T453" s="37"/>
      <c r="U453" s="37">
        <v>21575.0</v>
      </c>
    </row>
    <row r="454" ht="14.25" customHeight="1">
      <c r="A454" s="109">
        <v>25.0</v>
      </c>
      <c r="B454" s="70">
        <v>7940.0</v>
      </c>
      <c r="C454" s="70">
        <v>6455.0</v>
      </c>
      <c r="D454" s="71" t="s">
        <v>552</v>
      </c>
      <c r="E454" s="73"/>
      <c r="F454" s="157"/>
      <c r="G454" s="71"/>
      <c r="H454" s="71"/>
      <c r="I454" s="70"/>
      <c r="J454" s="72"/>
      <c r="K454" s="70"/>
      <c r="L454" s="70"/>
      <c r="M454" s="70"/>
      <c r="N454" s="73"/>
      <c r="O454" s="73"/>
      <c r="P454" s="245"/>
      <c r="Q454" s="245"/>
      <c r="R454" s="73">
        <v>22975.0</v>
      </c>
      <c r="S454" s="73"/>
      <c r="T454" s="73"/>
      <c r="U454" s="151">
        <v>18975.0</v>
      </c>
      <c r="V454" s="75"/>
      <c r="W454" s="75"/>
      <c r="X454" s="75"/>
      <c r="Y454" s="75"/>
    </row>
    <row r="455" ht="14.25" customHeight="1">
      <c r="A455" s="99">
        <v>26.0</v>
      </c>
      <c r="B455" s="66">
        <v>5862.0</v>
      </c>
      <c r="C455" s="66">
        <v>4952.0</v>
      </c>
      <c r="D455" s="67" t="s">
        <v>553</v>
      </c>
      <c r="E455" s="37" t="s">
        <v>56</v>
      </c>
      <c r="F455" s="37" t="s">
        <v>56</v>
      </c>
      <c r="G455" s="37" t="s">
        <v>56</v>
      </c>
      <c r="H455" s="37" t="s">
        <v>56</v>
      </c>
      <c r="I455" s="37" t="s">
        <v>56</v>
      </c>
      <c r="J455" s="37" t="s">
        <v>56</v>
      </c>
      <c r="K455" s="37" t="s">
        <v>56</v>
      </c>
      <c r="L455" s="37" t="s">
        <v>56</v>
      </c>
      <c r="M455" s="37" t="s">
        <v>56</v>
      </c>
      <c r="N455" s="37" t="s">
        <v>56</v>
      </c>
      <c r="O455" s="37" t="s">
        <v>56</v>
      </c>
      <c r="P455" s="130" t="s">
        <v>56</v>
      </c>
      <c r="Q455" s="104" t="s">
        <v>56</v>
      </c>
      <c r="R455" s="103" t="s">
        <v>56</v>
      </c>
      <c r="S455" s="103" t="s">
        <v>56</v>
      </c>
      <c r="T455" s="103" t="s">
        <v>56</v>
      </c>
      <c r="U455" s="103" t="s">
        <v>56</v>
      </c>
    </row>
    <row r="456" ht="14.25" customHeight="1">
      <c r="A456" s="99">
        <v>27.0</v>
      </c>
      <c r="B456" s="29">
        <v>7704.0</v>
      </c>
      <c r="C456" s="29">
        <v>6305.0</v>
      </c>
      <c r="D456" s="30" t="s">
        <v>554</v>
      </c>
      <c r="E456" s="37"/>
      <c r="F456" s="45"/>
      <c r="G456" s="63"/>
      <c r="H456" s="63"/>
      <c r="I456" s="43"/>
      <c r="J456" s="147"/>
      <c r="K456" s="43"/>
      <c r="L456" s="43"/>
      <c r="M456" s="43"/>
      <c r="N456" s="37">
        <v>20575.0</v>
      </c>
      <c r="O456" s="37">
        <v>20575.0</v>
      </c>
      <c r="P456" s="77"/>
      <c r="Q456" s="77">
        <v>15575.0</v>
      </c>
      <c r="R456" s="131">
        <v>19995.0</v>
      </c>
      <c r="S456" s="37"/>
      <c r="T456" s="37"/>
      <c r="U456" s="37">
        <f t="shared" ref="U456:U457" si="30">Q456*1.1</f>
        <v>17132.5</v>
      </c>
    </row>
    <row r="457" ht="14.25" customHeight="1">
      <c r="A457" s="99">
        <v>28.0</v>
      </c>
      <c r="B457" s="29">
        <v>7718.0</v>
      </c>
      <c r="C457" s="29">
        <v>6313.0</v>
      </c>
      <c r="D457" s="30" t="s">
        <v>555</v>
      </c>
      <c r="E457" s="37"/>
      <c r="F457" s="45"/>
      <c r="G457" s="63"/>
      <c r="H457" s="63"/>
      <c r="I457" s="43"/>
      <c r="J457" s="147"/>
      <c r="K457" s="43"/>
      <c r="L457" s="43"/>
      <c r="M457" s="43"/>
      <c r="N457" s="37">
        <v>20575.0</v>
      </c>
      <c r="O457" s="37">
        <v>20575.0</v>
      </c>
      <c r="P457" s="77">
        <v>20575.0</v>
      </c>
      <c r="Q457" s="77">
        <v>20575.0</v>
      </c>
      <c r="R457" s="131">
        <v>19995.0</v>
      </c>
      <c r="S457" s="37"/>
      <c r="T457" s="37"/>
      <c r="U457" s="37">
        <f t="shared" si="30"/>
        <v>22632.5</v>
      </c>
    </row>
    <row r="458" ht="14.25" customHeight="1">
      <c r="A458" s="99">
        <v>29.0</v>
      </c>
      <c r="B458" s="29">
        <v>7896.0</v>
      </c>
      <c r="C458" s="29">
        <v>6424.0</v>
      </c>
      <c r="D458" s="30" t="s">
        <v>556</v>
      </c>
      <c r="E458" s="37"/>
      <c r="F458" s="45"/>
      <c r="G458" s="63"/>
      <c r="H458" s="63"/>
      <c r="I458" s="43"/>
      <c r="J458" s="147"/>
      <c r="K458" s="43"/>
      <c r="L458" s="43"/>
      <c r="M458" s="43"/>
      <c r="N458" s="37"/>
      <c r="O458" s="37"/>
      <c r="P458" s="130"/>
      <c r="Q458" s="104"/>
      <c r="R458" s="131">
        <v>22995.0</v>
      </c>
      <c r="S458" s="37"/>
      <c r="T458" s="37"/>
      <c r="U458" s="37">
        <v>18975.0</v>
      </c>
    </row>
    <row r="459" ht="14.25" customHeight="1">
      <c r="A459" s="99">
        <v>30.0</v>
      </c>
      <c r="B459" s="43">
        <v>4997.0</v>
      </c>
      <c r="C459" s="43">
        <v>4306.0</v>
      </c>
      <c r="D459" s="30" t="s">
        <v>557</v>
      </c>
      <c r="E459" s="37"/>
      <c r="F459" s="63">
        <v>9575.0</v>
      </c>
      <c r="G459" s="246">
        <v>9575.0</v>
      </c>
      <c r="H459" s="246"/>
      <c r="I459" s="43">
        <v>9575.0</v>
      </c>
      <c r="J459" s="147"/>
      <c r="K459" s="43"/>
      <c r="L459" s="43"/>
      <c r="M459" s="43">
        <v>16775.0</v>
      </c>
      <c r="N459" s="43"/>
      <c r="O459" s="43"/>
      <c r="P459" s="43"/>
      <c r="Q459" s="247">
        <v>19975.0</v>
      </c>
      <c r="R459" s="131">
        <v>19995.0</v>
      </c>
      <c r="S459" s="37"/>
      <c r="T459" s="37"/>
      <c r="U459" s="37">
        <f t="shared" ref="U459:U460" si="31">Q459*1.1</f>
        <v>21972.5</v>
      </c>
    </row>
    <row r="460" ht="14.25" customHeight="1">
      <c r="A460" s="99">
        <v>31.0</v>
      </c>
      <c r="B460" s="43">
        <v>7741.0</v>
      </c>
      <c r="C460" s="43">
        <v>6330.0</v>
      </c>
      <c r="D460" s="30" t="s">
        <v>558</v>
      </c>
      <c r="E460" s="86" t="s">
        <v>559</v>
      </c>
      <c r="F460" s="37"/>
      <c r="G460" s="63"/>
      <c r="H460" s="63"/>
      <c r="I460" s="43"/>
      <c r="J460" s="147"/>
      <c r="K460" s="43"/>
      <c r="L460" s="43"/>
      <c r="M460" s="43"/>
      <c r="N460" s="43">
        <v>18575.0</v>
      </c>
      <c r="O460" s="43">
        <v>18575.0</v>
      </c>
      <c r="P460" s="43">
        <v>18575.0</v>
      </c>
      <c r="Q460" s="247">
        <v>18575.0</v>
      </c>
      <c r="R460" s="131">
        <v>19995.0</v>
      </c>
      <c r="S460" s="37"/>
      <c r="T460" s="37"/>
      <c r="U460" s="37">
        <f t="shared" si="31"/>
        <v>20432.5</v>
      </c>
    </row>
    <row r="461" ht="14.25" customHeight="1">
      <c r="A461" s="248"/>
      <c r="B461" s="248"/>
      <c r="C461" s="248"/>
      <c r="D461" s="249"/>
      <c r="E461" s="249"/>
      <c r="F461" s="177"/>
      <c r="G461" s="249"/>
      <c r="H461" s="249"/>
      <c r="I461" s="5"/>
      <c r="J461" s="4"/>
      <c r="K461" s="5"/>
      <c r="L461" s="5"/>
      <c r="M461" s="5"/>
      <c r="N461" s="3"/>
      <c r="O461" s="3"/>
      <c r="P461" s="3"/>
      <c r="Q461" s="3"/>
      <c r="R461" s="3"/>
      <c r="S461" s="3"/>
    </row>
    <row r="462" ht="14.25" customHeight="1">
      <c r="A462" s="248"/>
      <c r="B462" s="248"/>
      <c r="C462" s="248"/>
      <c r="D462" s="249"/>
      <c r="E462" s="249"/>
      <c r="F462" s="177"/>
      <c r="G462" s="249"/>
      <c r="H462" s="249"/>
      <c r="I462" s="5"/>
      <c r="J462" s="4"/>
      <c r="K462" s="5"/>
      <c r="L462" s="5"/>
      <c r="M462" s="5"/>
      <c r="N462" s="3"/>
      <c r="O462" s="3"/>
      <c r="P462" s="3"/>
      <c r="Q462" s="3"/>
      <c r="R462" s="3"/>
      <c r="S462" s="3"/>
    </row>
    <row r="463" ht="14.25" customHeight="1">
      <c r="A463" s="248"/>
      <c r="B463" s="248"/>
      <c r="C463" s="248"/>
      <c r="D463" s="249"/>
      <c r="E463" s="249"/>
      <c r="F463" s="177"/>
      <c r="G463" s="249"/>
      <c r="H463" s="249"/>
      <c r="I463" s="5"/>
      <c r="J463" s="4"/>
      <c r="K463" s="5"/>
      <c r="L463" s="5"/>
      <c r="M463" s="5"/>
      <c r="N463" s="3"/>
      <c r="O463" s="3"/>
      <c r="P463" s="3"/>
      <c r="Q463" s="3"/>
      <c r="R463" s="3"/>
      <c r="S463" s="3"/>
    </row>
    <row r="464" ht="14.25" customHeight="1">
      <c r="A464" s="248"/>
      <c r="B464" s="248"/>
      <c r="C464" s="248"/>
      <c r="D464" s="249"/>
      <c r="E464" s="249"/>
      <c r="F464" s="177"/>
      <c r="G464" s="249"/>
      <c r="H464" s="249"/>
      <c r="I464" s="5"/>
      <c r="J464" s="4"/>
      <c r="K464" s="5"/>
      <c r="L464" s="5"/>
      <c r="M464" s="5"/>
      <c r="N464" s="3"/>
      <c r="O464" s="3"/>
      <c r="P464" s="3"/>
      <c r="Q464" s="3"/>
      <c r="R464" s="3"/>
      <c r="S464" s="3"/>
    </row>
    <row r="465" ht="14.25" customHeight="1">
      <c r="A465" s="248"/>
      <c r="B465" s="248"/>
      <c r="C465" s="248"/>
      <c r="D465" s="249"/>
      <c r="E465" s="249"/>
      <c r="F465" s="177"/>
      <c r="G465" s="249"/>
      <c r="H465" s="249"/>
      <c r="I465" s="5"/>
      <c r="J465" s="4"/>
      <c r="K465" s="5"/>
      <c r="L465" s="5"/>
      <c r="M465" s="5"/>
      <c r="N465" s="3"/>
      <c r="O465" s="3"/>
      <c r="P465" s="3"/>
      <c r="Q465" s="3"/>
      <c r="R465" s="3"/>
      <c r="S465" s="3"/>
    </row>
    <row r="466" ht="14.25" customHeight="1">
      <c r="A466" s="248"/>
      <c r="B466" s="248"/>
      <c r="C466" s="248"/>
      <c r="D466" s="249"/>
      <c r="E466" s="249"/>
      <c r="F466" s="177"/>
      <c r="G466" s="249"/>
      <c r="H466" s="249"/>
      <c r="I466" s="5"/>
      <c r="J466" s="4"/>
      <c r="K466" s="5"/>
      <c r="L466" s="5"/>
      <c r="M466" s="5"/>
      <c r="N466" s="3"/>
      <c r="O466" s="3"/>
      <c r="P466" s="3"/>
      <c r="Q466" s="3"/>
      <c r="R466" s="3"/>
      <c r="S466" s="3"/>
    </row>
    <row r="467" ht="14.25" customHeight="1">
      <c r="A467" s="248"/>
      <c r="B467" s="248"/>
      <c r="C467" s="248"/>
      <c r="D467" s="249"/>
      <c r="E467" s="249"/>
      <c r="F467" s="177"/>
      <c r="G467" s="249"/>
      <c r="H467" s="249"/>
      <c r="I467" s="5"/>
      <c r="J467" s="4"/>
      <c r="K467" s="5"/>
      <c r="L467" s="5"/>
      <c r="M467" s="5"/>
      <c r="N467" s="3"/>
      <c r="O467" s="3"/>
      <c r="P467" s="3"/>
      <c r="Q467" s="3"/>
      <c r="R467" s="3"/>
      <c r="S467" s="3"/>
    </row>
    <row r="468" ht="14.25" customHeight="1">
      <c r="A468" s="248"/>
      <c r="B468" s="248"/>
      <c r="C468" s="248"/>
      <c r="D468" s="249"/>
      <c r="E468" s="249"/>
      <c r="F468" s="177"/>
      <c r="G468" s="249"/>
      <c r="H468" s="249"/>
      <c r="I468" s="5"/>
      <c r="J468" s="4"/>
      <c r="K468" s="5"/>
      <c r="L468" s="5"/>
      <c r="M468" s="5"/>
      <c r="N468" s="3"/>
      <c r="O468" s="3"/>
      <c r="P468" s="3"/>
      <c r="Q468" s="3"/>
      <c r="R468" s="3"/>
      <c r="S468" s="3"/>
    </row>
    <row r="469" ht="14.25" customHeight="1">
      <c r="A469" s="248"/>
      <c r="B469" s="248"/>
      <c r="C469" s="248"/>
      <c r="D469" s="249"/>
      <c r="E469" s="249"/>
      <c r="F469" s="177"/>
      <c r="G469" s="249"/>
      <c r="H469" s="249"/>
      <c r="I469" s="5"/>
      <c r="J469" s="4"/>
      <c r="K469" s="5"/>
      <c r="L469" s="5"/>
      <c r="M469" s="5"/>
      <c r="N469" s="3"/>
      <c r="O469" s="3"/>
      <c r="P469" s="3"/>
      <c r="Q469" s="3"/>
      <c r="R469" s="3"/>
      <c r="S469" s="3"/>
    </row>
    <row r="470" ht="14.25" customHeight="1">
      <c r="A470" s="248"/>
      <c r="B470" s="248"/>
      <c r="C470" s="248"/>
      <c r="D470" s="249"/>
      <c r="E470" s="249"/>
      <c r="F470" s="177"/>
      <c r="G470" s="249"/>
      <c r="H470" s="249"/>
      <c r="I470" s="5"/>
      <c r="J470" s="4"/>
      <c r="K470" s="5"/>
      <c r="L470" s="5"/>
      <c r="M470" s="5"/>
      <c r="N470" s="3"/>
      <c r="O470" s="3"/>
      <c r="P470" s="3"/>
      <c r="Q470" s="3"/>
      <c r="R470" s="3"/>
      <c r="S470" s="3"/>
    </row>
    <row r="471" ht="14.25" customHeight="1">
      <c r="A471" s="248"/>
      <c r="B471" s="248"/>
      <c r="C471" s="248"/>
      <c r="D471" s="249"/>
      <c r="E471" s="249"/>
      <c r="F471" s="177"/>
      <c r="G471" s="249"/>
      <c r="H471" s="249"/>
      <c r="I471" s="5"/>
      <c r="J471" s="4"/>
      <c r="K471" s="5"/>
      <c r="L471" s="5"/>
      <c r="M471" s="5"/>
      <c r="N471" s="3"/>
      <c r="O471" s="3"/>
      <c r="P471" s="3"/>
      <c r="Q471" s="3"/>
      <c r="R471" s="3"/>
      <c r="S471" s="3"/>
    </row>
    <row r="472" ht="14.25" customHeight="1">
      <c r="A472" s="248"/>
      <c r="B472" s="248"/>
      <c r="C472" s="248"/>
      <c r="D472" s="249"/>
      <c r="E472" s="249"/>
      <c r="F472" s="177"/>
      <c r="G472" s="249"/>
      <c r="H472" s="249"/>
      <c r="I472" s="5"/>
      <c r="J472" s="4"/>
      <c r="K472" s="5"/>
      <c r="L472" s="5"/>
      <c r="M472" s="5"/>
      <c r="N472" s="3"/>
      <c r="O472" s="3"/>
      <c r="P472" s="3"/>
      <c r="Q472" s="3"/>
      <c r="R472" s="3"/>
      <c r="S472" s="3"/>
    </row>
    <row r="473" ht="14.25" customHeight="1">
      <c r="A473" s="248"/>
      <c r="B473" s="248"/>
      <c r="C473" s="248"/>
      <c r="D473" s="249"/>
      <c r="E473" s="249"/>
      <c r="F473" s="177"/>
      <c r="G473" s="249"/>
      <c r="H473" s="249"/>
      <c r="I473" s="5"/>
      <c r="J473" s="4"/>
      <c r="K473" s="5"/>
      <c r="L473" s="5"/>
      <c r="M473" s="5"/>
      <c r="N473" s="3"/>
      <c r="O473" s="3"/>
      <c r="P473" s="3"/>
      <c r="Q473" s="3"/>
      <c r="R473" s="3"/>
      <c r="S473" s="3"/>
    </row>
    <row r="474" ht="14.25" customHeight="1">
      <c r="A474" s="248"/>
      <c r="B474" s="248"/>
      <c r="C474" s="248"/>
      <c r="D474" s="249"/>
      <c r="E474" s="249"/>
      <c r="F474" s="177"/>
      <c r="G474" s="249"/>
      <c r="H474" s="249"/>
      <c r="I474" s="5"/>
      <c r="J474" s="4"/>
      <c r="K474" s="5"/>
      <c r="L474" s="5"/>
      <c r="M474" s="5"/>
      <c r="N474" s="3"/>
      <c r="O474" s="3"/>
      <c r="P474" s="3"/>
      <c r="Q474" s="3"/>
      <c r="R474" s="3"/>
      <c r="S474" s="3"/>
    </row>
    <row r="475" ht="14.25" customHeight="1">
      <c r="A475" s="248"/>
      <c r="B475" s="248"/>
      <c r="C475" s="248"/>
      <c r="D475" s="249"/>
      <c r="E475" s="249"/>
      <c r="F475" s="177"/>
      <c r="G475" s="249"/>
      <c r="H475" s="249"/>
      <c r="I475" s="5"/>
      <c r="J475" s="4"/>
      <c r="K475" s="5"/>
      <c r="L475" s="5"/>
      <c r="M475" s="5"/>
      <c r="N475" s="3"/>
      <c r="O475" s="3"/>
      <c r="P475" s="3"/>
      <c r="Q475" s="3"/>
      <c r="R475" s="3"/>
      <c r="S475" s="3"/>
    </row>
    <row r="476" ht="14.25" customHeight="1">
      <c r="A476" s="248"/>
      <c r="B476" s="248"/>
      <c r="C476" s="248"/>
      <c r="D476" s="249"/>
      <c r="E476" s="249"/>
      <c r="F476" s="177"/>
      <c r="G476" s="249"/>
      <c r="H476" s="249"/>
      <c r="I476" s="5"/>
      <c r="J476" s="4"/>
      <c r="K476" s="5"/>
      <c r="L476" s="5"/>
      <c r="M476" s="5"/>
      <c r="N476" s="3"/>
      <c r="O476" s="3"/>
      <c r="P476" s="3"/>
      <c r="Q476" s="3"/>
      <c r="R476" s="3"/>
      <c r="S476" s="3"/>
    </row>
    <row r="477" ht="14.25" customHeight="1">
      <c r="A477" s="248"/>
      <c r="B477" s="248"/>
      <c r="C477" s="248"/>
      <c r="D477" s="249"/>
      <c r="E477" s="249"/>
      <c r="F477" s="177"/>
      <c r="G477" s="249"/>
      <c r="H477" s="249"/>
      <c r="I477" s="5"/>
      <c r="J477" s="4"/>
      <c r="K477" s="5"/>
      <c r="L477" s="5"/>
      <c r="M477" s="5"/>
      <c r="N477" s="3"/>
      <c r="O477" s="3"/>
      <c r="P477" s="3"/>
      <c r="Q477" s="3"/>
      <c r="R477" s="3"/>
      <c r="S477" s="3"/>
    </row>
    <row r="478" ht="14.25" customHeight="1">
      <c r="A478" s="248"/>
      <c r="B478" s="248"/>
      <c r="C478" s="248"/>
      <c r="D478" s="249"/>
      <c r="E478" s="249"/>
      <c r="F478" s="177"/>
      <c r="G478" s="249"/>
      <c r="H478" s="249"/>
      <c r="I478" s="5"/>
      <c r="J478" s="4"/>
      <c r="K478" s="5"/>
      <c r="L478" s="5"/>
      <c r="M478" s="5"/>
      <c r="N478" s="3"/>
      <c r="O478" s="3"/>
      <c r="P478" s="3"/>
      <c r="Q478" s="3"/>
      <c r="R478" s="3"/>
      <c r="S478" s="3"/>
    </row>
    <row r="479" ht="14.25" customHeight="1">
      <c r="A479" s="3" t="s">
        <v>3</v>
      </c>
      <c r="B479" s="3"/>
      <c r="C479" s="3"/>
      <c r="D479" s="3"/>
      <c r="E479" s="249"/>
      <c r="F479" s="177"/>
      <c r="G479" s="249"/>
      <c r="H479" s="249"/>
      <c r="I479" s="5"/>
      <c r="J479" s="4"/>
      <c r="K479" s="5"/>
      <c r="L479" s="5"/>
      <c r="M479" s="5"/>
      <c r="N479" s="3"/>
      <c r="O479" s="3"/>
      <c r="P479" s="3"/>
      <c r="Q479" s="3"/>
      <c r="R479" s="3"/>
      <c r="S479" s="3"/>
    </row>
    <row r="480" ht="14.25" customHeight="1">
      <c r="A480" s="3" t="s">
        <v>4</v>
      </c>
      <c r="B480" s="3"/>
      <c r="C480" s="3"/>
      <c r="D480" s="3"/>
      <c r="E480" s="249"/>
      <c r="F480" s="177"/>
      <c r="G480" s="249"/>
      <c r="H480" s="249"/>
      <c r="I480" s="5"/>
      <c r="J480" s="4"/>
      <c r="K480" s="5"/>
      <c r="L480" s="5"/>
      <c r="M480" s="5"/>
      <c r="N480" s="3"/>
      <c r="O480" s="3"/>
      <c r="P480" s="3"/>
      <c r="Q480" s="3"/>
      <c r="R480" s="3"/>
      <c r="S480" s="3"/>
    </row>
    <row r="481" ht="14.25" customHeight="1">
      <c r="A481" s="248"/>
      <c r="B481" s="248"/>
      <c r="C481" s="248"/>
      <c r="D481" s="249"/>
      <c r="E481" s="249"/>
      <c r="F481" s="177"/>
      <c r="G481" s="249"/>
      <c r="H481" s="249"/>
      <c r="I481" s="5"/>
      <c r="J481" s="4"/>
      <c r="K481" s="5"/>
      <c r="L481" s="5"/>
      <c r="M481" s="5"/>
      <c r="N481" s="3"/>
      <c r="O481" s="3"/>
      <c r="P481" s="3"/>
      <c r="Q481" s="3"/>
      <c r="R481" s="3"/>
      <c r="S481" s="3"/>
    </row>
    <row r="482" ht="14.25" customHeight="1">
      <c r="A482" s="2" t="s">
        <v>2</v>
      </c>
    </row>
    <row r="483" ht="14.25" customHeight="1">
      <c r="A483" s="8" t="s">
        <v>560</v>
      </c>
    </row>
    <row r="484" ht="14.25" customHeight="1">
      <c r="A484" s="12" t="s">
        <v>7</v>
      </c>
    </row>
    <row r="485" ht="14.25" customHeight="1">
      <c r="A485" s="88" t="s">
        <v>8</v>
      </c>
      <c r="B485" s="250" t="s">
        <v>9</v>
      </c>
      <c r="C485" s="251" t="s">
        <v>10</v>
      </c>
      <c r="D485" s="252" t="s">
        <v>11</v>
      </c>
      <c r="E485" s="253" t="s">
        <v>12</v>
      </c>
      <c r="F485" s="254" t="s">
        <v>13</v>
      </c>
      <c r="G485" s="255"/>
      <c r="H485" s="255"/>
      <c r="I485" s="256"/>
      <c r="J485" s="257" t="s">
        <v>15</v>
      </c>
      <c r="K485" s="255"/>
      <c r="L485" s="255"/>
      <c r="M485" s="258"/>
      <c r="N485" s="97" t="s">
        <v>17</v>
      </c>
      <c r="O485" s="93"/>
      <c r="P485" s="93"/>
      <c r="Q485" s="98"/>
      <c r="R485" s="52" t="s">
        <v>18</v>
      </c>
      <c r="S485" s="16"/>
      <c r="T485" s="16"/>
      <c r="U485" s="17"/>
    </row>
    <row r="486" ht="14.25" customHeight="1">
      <c r="A486" s="22"/>
      <c r="B486" s="22"/>
      <c r="C486" s="22"/>
      <c r="D486" s="22"/>
      <c r="E486" s="22"/>
      <c r="F486" s="25" t="s">
        <v>20</v>
      </c>
      <c r="G486" s="25" t="s">
        <v>21</v>
      </c>
      <c r="H486" s="25" t="s">
        <v>22</v>
      </c>
      <c r="I486" s="25" t="s">
        <v>23</v>
      </c>
      <c r="J486" s="25" t="s">
        <v>20</v>
      </c>
      <c r="K486" s="25" t="s">
        <v>21</v>
      </c>
      <c r="L486" s="25" t="s">
        <v>22</v>
      </c>
      <c r="M486" s="25" t="s">
        <v>23</v>
      </c>
      <c r="N486" s="25" t="s">
        <v>20</v>
      </c>
      <c r="O486" s="25" t="s">
        <v>21</v>
      </c>
      <c r="P486" s="25" t="s">
        <v>22</v>
      </c>
      <c r="Q486" s="25" t="s">
        <v>23</v>
      </c>
      <c r="R486" s="25" t="s">
        <v>20</v>
      </c>
      <c r="S486" s="25" t="s">
        <v>21</v>
      </c>
      <c r="T486" s="25" t="s">
        <v>22</v>
      </c>
      <c r="U486" s="25" t="s">
        <v>23</v>
      </c>
    </row>
    <row r="487" ht="14.25" customHeight="1">
      <c r="A487" s="243">
        <v>1.0</v>
      </c>
      <c r="B487" s="225">
        <v>4711.0</v>
      </c>
      <c r="C487" s="225">
        <v>4076.0</v>
      </c>
      <c r="D487" s="222" t="s">
        <v>561</v>
      </c>
      <c r="E487" s="223" t="s">
        <v>562</v>
      </c>
      <c r="F487" s="259">
        <v>1208.0</v>
      </c>
      <c r="G487" s="144">
        <v>1208.0</v>
      </c>
      <c r="H487" s="144"/>
      <c r="I487" s="144">
        <v>12075.0</v>
      </c>
      <c r="J487" s="144"/>
      <c r="K487" s="144"/>
      <c r="L487" s="144"/>
      <c r="M487" s="144">
        <v>15975.0</v>
      </c>
      <c r="N487" s="260"/>
      <c r="O487" s="144"/>
      <c r="P487" s="144"/>
      <c r="Q487" s="144">
        <v>17975.0</v>
      </c>
      <c r="R487" s="105">
        <v>20995.0</v>
      </c>
      <c r="S487" s="27"/>
      <c r="T487" s="27"/>
      <c r="U487" s="27">
        <f t="shared" ref="U487:U507" si="32">Q487*1.1</f>
        <v>19772.5</v>
      </c>
    </row>
    <row r="488" ht="14.25" customHeight="1">
      <c r="A488" s="243">
        <v>2.0</v>
      </c>
      <c r="B488" s="225">
        <v>4444.0</v>
      </c>
      <c r="C488" s="225">
        <v>3884.0</v>
      </c>
      <c r="D488" s="222" t="s">
        <v>563</v>
      </c>
      <c r="E488" s="223" t="s">
        <v>564</v>
      </c>
      <c r="F488" s="259">
        <v>1258.0</v>
      </c>
      <c r="G488" s="144">
        <v>1258.0</v>
      </c>
      <c r="H488" s="144"/>
      <c r="I488" s="144">
        <v>12575.0</v>
      </c>
      <c r="J488" s="144"/>
      <c r="K488" s="144"/>
      <c r="L488" s="144"/>
      <c r="M488" s="144">
        <v>16575.0</v>
      </c>
      <c r="N488" s="260"/>
      <c r="O488" s="144"/>
      <c r="P488" s="144"/>
      <c r="Q488" s="144">
        <v>18975.0</v>
      </c>
      <c r="R488" s="105">
        <v>20995.0</v>
      </c>
      <c r="S488" s="27"/>
      <c r="T488" s="27"/>
      <c r="U488" s="27">
        <f t="shared" si="32"/>
        <v>20872.5</v>
      </c>
    </row>
    <row r="489" ht="14.25" customHeight="1">
      <c r="A489" s="243">
        <v>3.0</v>
      </c>
      <c r="B489" s="225">
        <v>4469.0</v>
      </c>
      <c r="C489" s="225">
        <v>3909.0</v>
      </c>
      <c r="D489" s="222" t="s">
        <v>565</v>
      </c>
      <c r="E489" s="223" t="s">
        <v>566</v>
      </c>
      <c r="F489" s="259">
        <v>1208.0</v>
      </c>
      <c r="G489" s="144">
        <v>1208.0</v>
      </c>
      <c r="H489" s="144">
        <v>1208.0</v>
      </c>
      <c r="I489" s="144">
        <v>12075.0</v>
      </c>
      <c r="J489" s="144"/>
      <c r="K489" s="144"/>
      <c r="L489" s="144"/>
      <c r="M489" s="144">
        <v>15975.0</v>
      </c>
      <c r="N489" s="260"/>
      <c r="O489" s="144"/>
      <c r="P489" s="144"/>
      <c r="Q489" s="144">
        <v>17975.0</v>
      </c>
      <c r="R489" s="105">
        <v>20995.0</v>
      </c>
      <c r="S489" s="27"/>
      <c r="T489" s="27"/>
      <c r="U489" s="27">
        <f t="shared" si="32"/>
        <v>19772.5</v>
      </c>
    </row>
    <row r="490" ht="14.25" customHeight="1">
      <c r="A490" s="243">
        <v>4.0</v>
      </c>
      <c r="B490" s="261">
        <v>5416.0</v>
      </c>
      <c r="C490" s="261">
        <v>4640.0</v>
      </c>
      <c r="D490" s="222" t="s">
        <v>567</v>
      </c>
      <c r="E490" s="223" t="s">
        <v>568</v>
      </c>
      <c r="F490" s="259">
        <v>1258.0</v>
      </c>
      <c r="G490" s="144">
        <v>1258.0</v>
      </c>
      <c r="H490" s="144"/>
      <c r="I490" s="144">
        <v>12575.0</v>
      </c>
      <c r="J490" s="144"/>
      <c r="K490" s="144"/>
      <c r="L490" s="144"/>
      <c r="M490" s="144">
        <v>15975.0</v>
      </c>
      <c r="N490" s="260"/>
      <c r="O490" s="144"/>
      <c r="P490" s="144"/>
      <c r="Q490" s="144">
        <v>17975.0</v>
      </c>
      <c r="R490" s="105">
        <v>20995.0</v>
      </c>
      <c r="S490" s="27"/>
      <c r="T490" s="27"/>
      <c r="U490" s="27">
        <f t="shared" si="32"/>
        <v>19772.5</v>
      </c>
    </row>
    <row r="491" ht="14.25" customHeight="1">
      <c r="A491" s="243">
        <v>5.0</v>
      </c>
      <c r="B491" s="225">
        <v>7509.0</v>
      </c>
      <c r="C491" s="225">
        <v>6172.0</v>
      </c>
      <c r="D491" s="262" t="s">
        <v>569</v>
      </c>
      <c r="E491" s="263" t="s">
        <v>570</v>
      </c>
      <c r="F491" s="144"/>
      <c r="G491" s="144"/>
      <c r="H491" s="144"/>
      <c r="I491" s="144"/>
      <c r="J491" s="144">
        <v>16575.0</v>
      </c>
      <c r="K491" s="144"/>
      <c r="L491" s="144"/>
      <c r="M491" s="144">
        <v>16575.0</v>
      </c>
      <c r="N491" s="260"/>
      <c r="O491" s="144"/>
      <c r="P491" s="144"/>
      <c r="Q491" s="144">
        <v>18975.0</v>
      </c>
      <c r="R491" s="105">
        <v>20995.0</v>
      </c>
      <c r="S491" s="27"/>
      <c r="T491" s="27"/>
      <c r="U491" s="27">
        <f t="shared" si="32"/>
        <v>20872.5</v>
      </c>
    </row>
    <row r="492" ht="14.25" customHeight="1">
      <c r="A492" s="243">
        <v>6.0</v>
      </c>
      <c r="B492" s="225">
        <v>4289.0</v>
      </c>
      <c r="C492" s="225">
        <v>3736.0</v>
      </c>
      <c r="D492" s="222" t="s">
        <v>571</v>
      </c>
      <c r="E492" s="223" t="s">
        <v>572</v>
      </c>
      <c r="F492" s="259">
        <v>1208.0</v>
      </c>
      <c r="G492" s="144">
        <v>1208.0</v>
      </c>
      <c r="H492" s="144"/>
      <c r="I492" s="144">
        <v>12075.0</v>
      </c>
      <c r="J492" s="144"/>
      <c r="K492" s="144"/>
      <c r="L492" s="144"/>
      <c r="M492" s="144">
        <v>15975.0</v>
      </c>
      <c r="N492" s="260"/>
      <c r="O492" s="144"/>
      <c r="P492" s="144"/>
      <c r="Q492" s="144">
        <v>17975.0</v>
      </c>
      <c r="R492" s="105">
        <v>20995.0</v>
      </c>
      <c r="S492" s="27"/>
      <c r="T492" s="27"/>
      <c r="U492" s="27">
        <f t="shared" si="32"/>
        <v>19772.5</v>
      </c>
    </row>
    <row r="493" ht="14.25" customHeight="1">
      <c r="A493" s="243">
        <v>7.0</v>
      </c>
      <c r="B493" s="225">
        <v>4870.0</v>
      </c>
      <c r="C493" s="225">
        <v>4188.0</v>
      </c>
      <c r="D493" s="222" t="s">
        <v>573</v>
      </c>
      <c r="E493" s="223" t="s">
        <v>574</v>
      </c>
      <c r="F493" s="259">
        <v>1208.0</v>
      </c>
      <c r="G493" s="144">
        <v>1208.0</v>
      </c>
      <c r="H493" s="144"/>
      <c r="I493" s="144">
        <v>12075.0</v>
      </c>
      <c r="J493" s="144"/>
      <c r="K493" s="144"/>
      <c r="L493" s="144"/>
      <c r="M493" s="144">
        <v>15975.0</v>
      </c>
      <c r="N493" s="260"/>
      <c r="O493" s="144"/>
      <c r="P493" s="144"/>
      <c r="Q493" s="264">
        <v>5392.0</v>
      </c>
      <c r="R493" s="105">
        <v>20995.0</v>
      </c>
      <c r="S493" s="27"/>
      <c r="T493" s="27"/>
      <c r="U493" s="27">
        <f t="shared" si="32"/>
        <v>5931.2</v>
      </c>
    </row>
    <row r="494" ht="14.25" customHeight="1">
      <c r="A494" s="243">
        <v>8.0</v>
      </c>
      <c r="B494" s="225">
        <v>5208.0</v>
      </c>
      <c r="C494" s="225">
        <v>4475.0</v>
      </c>
      <c r="D494" s="222" t="s">
        <v>575</v>
      </c>
      <c r="E494" s="223" t="s">
        <v>576</v>
      </c>
      <c r="F494" s="259">
        <v>1208.0</v>
      </c>
      <c r="G494" s="144">
        <v>1208.0</v>
      </c>
      <c r="H494" s="144"/>
      <c r="I494" s="144">
        <v>12075.0</v>
      </c>
      <c r="J494" s="144"/>
      <c r="K494" s="144"/>
      <c r="L494" s="144"/>
      <c r="M494" s="144">
        <v>15975.0</v>
      </c>
      <c r="N494" s="260"/>
      <c r="O494" s="144"/>
      <c r="P494" s="144"/>
      <c r="Q494" s="144">
        <v>17975.0</v>
      </c>
      <c r="R494" s="105">
        <v>20995.0</v>
      </c>
      <c r="S494" s="27"/>
      <c r="T494" s="27"/>
      <c r="U494" s="27">
        <f t="shared" si="32"/>
        <v>19772.5</v>
      </c>
    </row>
    <row r="495" ht="14.25" customHeight="1">
      <c r="A495" s="243">
        <v>9.0</v>
      </c>
      <c r="B495" s="225">
        <v>7173.0</v>
      </c>
      <c r="C495" s="225">
        <v>5924.0</v>
      </c>
      <c r="D495" s="240" t="s">
        <v>577</v>
      </c>
      <c r="E495" s="223" t="s">
        <v>578</v>
      </c>
      <c r="F495" s="259">
        <v>12550.0</v>
      </c>
      <c r="G495" s="144">
        <v>12550.0</v>
      </c>
      <c r="H495" s="144">
        <v>12550.0</v>
      </c>
      <c r="I495" s="144">
        <v>10000.0</v>
      </c>
      <c r="J495" s="144"/>
      <c r="K495" s="144"/>
      <c r="L495" s="144"/>
      <c r="M495" s="144">
        <v>15575.0</v>
      </c>
      <c r="N495" s="260"/>
      <c r="O495" s="144"/>
      <c r="P495" s="144"/>
      <c r="Q495" s="144">
        <v>19975.0</v>
      </c>
      <c r="R495" s="105">
        <v>20995.0</v>
      </c>
      <c r="S495" s="27"/>
      <c r="T495" s="27"/>
      <c r="U495" s="27">
        <f t="shared" si="32"/>
        <v>21972.5</v>
      </c>
    </row>
    <row r="496" ht="14.25" customHeight="1">
      <c r="A496" s="243">
        <v>10.0</v>
      </c>
      <c r="B496" s="225">
        <v>6213.0</v>
      </c>
      <c r="C496" s="225">
        <v>5199.0</v>
      </c>
      <c r="D496" s="222" t="s">
        <v>579</v>
      </c>
      <c r="E496" s="223" t="s">
        <v>580</v>
      </c>
      <c r="F496" s="259">
        <v>1258.0</v>
      </c>
      <c r="G496" s="144">
        <v>1258.0</v>
      </c>
      <c r="H496" s="144">
        <v>1258.0</v>
      </c>
      <c r="I496" s="144">
        <v>12575.0</v>
      </c>
      <c r="J496" s="144"/>
      <c r="K496" s="144"/>
      <c r="L496" s="144"/>
      <c r="M496" s="144">
        <v>16575.0</v>
      </c>
      <c r="N496" s="260"/>
      <c r="O496" s="144"/>
      <c r="P496" s="144"/>
      <c r="Q496" s="144">
        <v>18975.0</v>
      </c>
      <c r="R496" s="105">
        <v>20995.0</v>
      </c>
      <c r="S496" s="27"/>
      <c r="T496" s="27"/>
      <c r="U496" s="27">
        <f t="shared" si="32"/>
        <v>20872.5</v>
      </c>
    </row>
    <row r="497" ht="14.25" customHeight="1">
      <c r="A497" s="243">
        <v>11.0</v>
      </c>
      <c r="B497" s="225">
        <v>6806.0</v>
      </c>
      <c r="C497" s="225">
        <v>5655.0</v>
      </c>
      <c r="D497" s="222" t="s">
        <v>581</v>
      </c>
      <c r="E497" s="223" t="s">
        <v>582</v>
      </c>
      <c r="F497" s="259">
        <v>1258.0</v>
      </c>
      <c r="G497" s="144">
        <v>1258.0</v>
      </c>
      <c r="H497" s="144">
        <v>1258.0</v>
      </c>
      <c r="I497" s="144">
        <v>12575.0</v>
      </c>
      <c r="J497" s="144"/>
      <c r="K497" s="144"/>
      <c r="L497" s="144"/>
      <c r="M497" s="144">
        <v>16575.0</v>
      </c>
      <c r="N497" s="260"/>
      <c r="O497" s="144"/>
      <c r="P497" s="144"/>
      <c r="Q497" s="144">
        <v>18975.0</v>
      </c>
      <c r="R497" s="105">
        <v>20995.0</v>
      </c>
      <c r="S497" s="27"/>
      <c r="T497" s="27"/>
      <c r="U497" s="27">
        <f t="shared" si="32"/>
        <v>20872.5</v>
      </c>
    </row>
    <row r="498" ht="14.25" customHeight="1">
      <c r="A498" s="243">
        <v>12.0</v>
      </c>
      <c r="B498" s="225">
        <v>5761.0</v>
      </c>
      <c r="C498" s="225">
        <v>4870.0</v>
      </c>
      <c r="D498" s="222" t="s">
        <v>583</v>
      </c>
      <c r="E498" s="223" t="s">
        <v>584</v>
      </c>
      <c r="F498" s="144">
        <v>1258.0</v>
      </c>
      <c r="G498" s="144">
        <v>1258.0</v>
      </c>
      <c r="H498" s="144"/>
      <c r="I498" s="144">
        <v>12575.0</v>
      </c>
      <c r="J498" s="144"/>
      <c r="K498" s="144"/>
      <c r="L498" s="144"/>
      <c r="M498" s="144">
        <v>15975.0</v>
      </c>
      <c r="N498" s="260"/>
      <c r="O498" s="144"/>
      <c r="P498" s="144"/>
      <c r="Q498" s="144">
        <v>17975.0</v>
      </c>
      <c r="R498" s="105">
        <v>20995.0</v>
      </c>
      <c r="S498" s="27"/>
      <c r="T498" s="27"/>
      <c r="U498" s="27">
        <f t="shared" si="32"/>
        <v>19772.5</v>
      </c>
    </row>
    <row r="499" ht="14.25" customHeight="1">
      <c r="A499" s="243">
        <v>13.0</v>
      </c>
      <c r="B499" s="225">
        <v>6482.0</v>
      </c>
      <c r="C499" s="225">
        <v>5399.0</v>
      </c>
      <c r="D499" s="222" t="s">
        <v>585</v>
      </c>
      <c r="E499" s="223" t="s">
        <v>586</v>
      </c>
      <c r="F499" s="144">
        <v>1258.0</v>
      </c>
      <c r="G499" s="144">
        <v>1258.0</v>
      </c>
      <c r="H499" s="144">
        <v>1258.0</v>
      </c>
      <c r="I499" s="144">
        <v>12575.0</v>
      </c>
      <c r="J499" s="144"/>
      <c r="K499" s="144"/>
      <c r="L499" s="144"/>
      <c r="M499" s="144">
        <v>16575.0</v>
      </c>
      <c r="N499" s="260"/>
      <c r="O499" s="144"/>
      <c r="P499" s="144"/>
      <c r="Q499" s="144">
        <v>18975.0</v>
      </c>
      <c r="R499" s="105">
        <v>20995.0</v>
      </c>
      <c r="S499" s="27"/>
      <c r="T499" s="27"/>
      <c r="U499" s="27">
        <f t="shared" si="32"/>
        <v>20872.5</v>
      </c>
    </row>
    <row r="500" ht="14.25" customHeight="1">
      <c r="A500" s="243">
        <v>14.0</v>
      </c>
      <c r="B500" s="225">
        <v>5752.0</v>
      </c>
      <c r="C500" s="225">
        <v>4864.0</v>
      </c>
      <c r="D500" s="222" t="s">
        <v>587</v>
      </c>
      <c r="E500" s="243" t="s">
        <v>588</v>
      </c>
      <c r="F500" s="260"/>
      <c r="G500" s="260"/>
      <c r="H500" s="260"/>
      <c r="I500" s="144"/>
      <c r="J500" s="260"/>
      <c r="K500" s="144"/>
      <c r="L500" s="144"/>
      <c r="M500" s="144">
        <v>21939.0</v>
      </c>
      <c r="N500" s="260"/>
      <c r="O500" s="144"/>
      <c r="P500" s="144"/>
      <c r="Q500" s="144">
        <v>22975.0</v>
      </c>
      <c r="R500" s="105">
        <v>20995.0</v>
      </c>
      <c r="S500" s="27"/>
      <c r="T500" s="27"/>
      <c r="U500" s="27">
        <f t="shared" si="32"/>
        <v>25272.5</v>
      </c>
    </row>
    <row r="501" ht="14.25" customHeight="1">
      <c r="A501" s="243">
        <v>15.0</v>
      </c>
      <c r="B501" s="225">
        <v>4770.0</v>
      </c>
      <c r="C501" s="225">
        <v>4107.0</v>
      </c>
      <c r="D501" s="222" t="s">
        <v>589</v>
      </c>
      <c r="E501" s="243" t="s">
        <v>590</v>
      </c>
      <c r="F501" s="260">
        <v>1208.0</v>
      </c>
      <c r="G501" s="260">
        <v>1208.0</v>
      </c>
      <c r="H501" s="260"/>
      <c r="I501" s="144">
        <v>12075.0</v>
      </c>
      <c r="J501" s="260"/>
      <c r="K501" s="144"/>
      <c r="L501" s="144"/>
      <c r="M501" s="144">
        <v>15975.0</v>
      </c>
      <c r="N501" s="260"/>
      <c r="O501" s="144"/>
      <c r="P501" s="144"/>
      <c r="Q501" s="144">
        <v>17975.0</v>
      </c>
      <c r="R501" s="105">
        <v>20995.0</v>
      </c>
      <c r="S501" s="27"/>
      <c r="T501" s="27"/>
      <c r="U501" s="27">
        <f t="shared" si="32"/>
        <v>19772.5</v>
      </c>
    </row>
    <row r="502" ht="14.25" customHeight="1">
      <c r="A502" s="243">
        <v>16.0</v>
      </c>
      <c r="B502" s="225">
        <v>7367.0</v>
      </c>
      <c r="C502" s="225">
        <v>6082.0</v>
      </c>
      <c r="D502" s="222" t="s">
        <v>591</v>
      </c>
      <c r="E502" s="243" t="s">
        <v>592</v>
      </c>
      <c r="F502" s="260"/>
      <c r="G502" s="260"/>
      <c r="H502" s="260"/>
      <c r="I502" s="144"/>
      <c r="J502" s="260">
        <v>16575.0</v>
      </c>
      <c r="K502" s="144">
        <v>16575.0</v>
      </c>
      <c r="L502" s="144">
        <v>16575.0</v>
      </c>
      <c r="M502" s="144">
        <v>16123.0</v>
      </c>
      <c r="N502" s="260"/>
      <c r="O502" s="144"/>
      <c r="P502" s="144"/>
      <c r="Q502" s="144">
        <v>22975.0</v>
      </c>
      <c r="R502" s="105">
        <v>20995.0</v>
      </c>
      <c r="S502" s="27"/>
      <c r="T502" s="27"/>
      <c r="U502" s="27">
        <f t="shared" si="32"/>
        <v>25272.5</v>
      </c>
    </row>
    <row r="503" ht="14.25" customHeight="1">
      <c r="A503" s="243">
        <v>17.0</v>
      </c>
      <c r="B503" s="225">
        <v>4359.0</v>
      </c>
      <c r="C503" s="225">
        <v>3805.0</v>
      </c>
      <c r="D503" s="222" t="s">
        <v>593</v>
      </c>
      <c r="E503" s="243" t="s">
        <v>594</v>
      </c>
      <c r="F503" s="260">
        <v>1208.0</v>
      </c>
      <c r="G503" s="260">
        <v>1208.0</v>
      </c>
      <c r="H503" s="260"/>
      <c r="I503" s="144">
        <v>12075.0</v>
      </c>
      <c r="J503" s="260"/>
      <c r="K503" s="144"/>
      <c r="L503" s="144"/>
      <c r="M503" s="144">
        <v>17975.0</v>
      </c>
      <c r="N503" s="260"/>
      <c r="O503" s="144"/>
      <c r="P503" s="144"/>
      <c r="Q503" s="144">
        <v>18975.0</v>
      </c>
      <c r="R503" s="105">
        <v>20995.0</v>
      </c>
      <c r="S503" s="27"/>
      <c r="T503" s="27"/>
      <c r="U503" s="27">
        <f t="shared" si="32"/>
        <v>20872.5</v>
      </c>
    </row>
    <row r="504" ht="14.25" customHeight="1">
      <c r="A504" s="243">
        <v>18.0</v>
      </c>
      <c r="B504" s="29">
        <v>5422.0</v>
      </c>
      <c r="C504" s="29">
        <v>4645.0</v>
      </c>
      <c r="D504" s="222" t="s">
        <v>595</v>
      </c>
      <c r="E504" s="223" t="s">
        <v>596</v>
      </c>
      <c r="F504" s="144">
        <v>908.0</v>
      </c>
      <c r="G504" s="260">
        <v>908.0</v>
      </c>
      <c r="H504" s="260">
        <v>908.0</v>
      </c>
      <c r="I504" s="144">
        <v>9075.0</v>
      </c>
      <c r="J504" s="260"/>
      <c r="K504" s="144"/>
      <c r="L504" s="144"/>
      <c r="M504" s="144">
        <v>14075.0</v>
      </c>
      <c r="N504" s="260"/>
      <c r="O504" s="144"/>
      <c r="P504" s="144"/>
      <c r="Q504" s="144">
        <v>16975.0</v>
      </c>
      <c r="R504" s="105">
        <v>20995.0</v>
      </c>
      <c r="S504" s="27"/>
      <c r="T504" s="27"/>
      <c r="U504" s="27">
        <f t="shared" si="32"/>
        <v>18672.5</v>
      </c>
    </row>
    <row r="505" ht="14.25" customHeight="1">
      <c r="A505" s="243">
        <v>19.0</v>
      </c>
      <c r="B505" s="265">
        <v>4773.0</v>
      </c>
      <c r="C505" s="29">
        <v>4109.0</v>
      </c>
      <c r="D505" s="76" t="s">
        <v>597</v>
      </c>
      <c r="E505" s="266"/>
      <c r="F505" s="267">
        <v>1208.0</v>
      </c>
      <c r="G505" s="268">
        <v>1208.0</v>
      </c>
      <c r="H505" s="269"/>
      <c r="I505" s="29">
        <v>12575.0</v>
      </c>
      <c r="J505" s="31"/>
      <c r="K505" s="29"/>
      <c r="L505" s="29"/>
      <c r="M505" s="29">
        <v>15975.0</v>
      </c>
      <c r="N505" s="260"/>
      <c r="O505" s="144"/>
      <c r="P505" s="144"/>
      <c r="Q505" s="144">
        <v>17975.0</v>
      </c>
      <c r="R505" s="105">
        <v>20995.0</v>
      </c>
      <c r="S505" s="27"/>
      <c r="T505" s="27"/>
      <c r="U505" s="27">
        <f t="shared" si="32"/>
        <v>19772.5</v>
      </c>
    </row>
    <row r="506" ht="14.25" customHeight="1">
      <c r="A506" s="243">
        <v>20.0</v>
      </c>
      <c r="B506" s="270">
        <v>5536.0</v>
      </c>
      <c r="C506" s="271">
        <v>4736.0</v>
      </c>
      <c r="D506" s="272" t="s">
        <v>598</v>
      </c>
      <c r="E506" s="273"/>
      <c r="F506" s="274">
        <v>1258.0</v>
      </c>
      <c r="G506" s="275">
        <v>1258.0</v>
      </c>
      <c r="H506" s="276"/>
      <c r="I506" s="271">
        <v>12575.0</v>
      </c>
      <c r="J506" s="277"/>
      <c r="K506" s="271"/>
      <c r="L506" s="271"/>
      <c r="M506" s="271">
        <v>15975.0</v>
      </c>
      <c r="N506" s="278"/>
      <c r="O506" s="279"/>
      <c r="P506" s="279"/>
      <c r="Q506" s="279">
        <v>17975.0</v>
      </c>
      <c r="R506" s="105">
        <v>20995.0</v>
      </c>
      <c r="S506" s="27"/>
      <c r="T506" s="27"/>
      <c r="U506" s="27">
        <f t="shared" si="32"/>
        <v>19772.5</v>
      </c>
    </row>
    <row r="507" ht="14.25" customHeight="1">
      <c r="A507" s="243">
        <v>21.0</v>
      </c>
      <c r="B507" s="280">
        <v>4348.0</v>
      </c>
      <c r="C507" s="39">
        <v>3794.0</v>
      </c>
      <c r="D507" s="281" t="s">
        <v>599</v>
      </c>
      <c r="E507" s="30"/>
      <c r="F507" s="30">
        <v>12075.0</v>
      </c>
      <c r="G507" s="269">
        <v>12075.0</v>
      </c>
      <c r="H507" s="269">
        <v>12075.0</v>
      </c>
      <c r="I507" s="29">
        <v>12075.0</v>
      </c>
      <c r="J507" s="31"/>
      <c r="K507" s="29"/>
      <c r="L507" s="29"/>
      <c r="M507" s="29">
        <v>15975.0</v>
      </c>
      <c r="N507" s="144"/>
      <c r="O507" s="144"/>
      <c r="P507" s="144"/>
      <c r="Q507" s="144">
        <v>17975.0</v>
      </c>
      <c r="R507" s="105">
        <v>20995.0</v>
      </c>
      <c r="S507" s="27"/>
      <c r="T507" s="27"/>
      <c r="U507" s="27">
        <f t="shared" si="32"/>
        <v>19772.5</v>
      </c>
    </row>
    <row r="508" ht="14.25" customHeight="1">
      <c r="A508" s="88" t="s">
        <v>8</v>
      </c>
      <c r="B508" s="250" t="s">
        <v>9</v>
      </c>
      <c r="C508" s="251" t="s">
        <v>10</v>
      </c>
      <c r="D508" s="252" t="s">
        <v>11</v>
      </c>
      <c r="E508" s="253" t="s">
        <v>12</v>
      </c>
      <c r="F508" s="254" t="s">
        <v>13</v>
      </c>
      <c r="G508" s="255"/>
      <c r="H508" s="255"/>
      <c r="I508" s="256"/>
      <c r="J508" s="257" t="s">
        <v>15</v>
      </c>
      <c r="K508" s="255"/>
      <c r="L508" s="255"/>
      <c r="M508" s="258"/>
      <c r="N508" s="97" t="s">
        <v>17</v>
      </c>
      <c r="O508" s="93"/>
      <c r="P508" s="93"/>
      <c r="Q508" s="98"/>
      <c r="R508" s="52" t="s">
        <v>18</v>
      </c>
      <c r="S508" s="16"/>
      <c r="T508" s="16"/>
      <c r="U508" s="17"/>
    </row>
    <row r="509" ht="14.25" customHeight="1">
      <c r="A509" s="22"/>
      <c r="B509" s="22"/>
      <c r="C509" s="22"/>
      <c r="D509" s="22"/>
      <c r="E509" s="22"/>
      <c r="F509" s="25" t="s">
        <v>20</v>
      </c>
      <c r="G509" s="25" t="s">
        <v>21</v>
      </c>
      <c r="H509" s="25" t="s">
        <v>22</v>
      </c>
      <c r="I509" s="25" t="s">
        <v>23</v>
      </c>
      <c r="J509" s="25" t="s">
        <v>20</v>
      </c>
      <c r="K509" s="25" t="s">
        <v>21</v>
      </c>
      <c r="L509" s="25" t="s">
        <v>22</v>
      </c>
      <c r="M509" s="25" t="s">
        <v>23</v>
      </c>
      <c r="N509" s="25" t="s">
        <v>20</v>
      </c>
      <c r="O509" s="25" t="s">
        <v>21</v>
      </c>
      <c r="P509" s="25" t="s">
        <v>22</v>
      </c>
      <c r="Q509" s="25" t="s">
        <v>23</v>
      </c>
      <c r="R509" s="25" t="s">
        <v>20</v>
      </c>
      <c r="S509" s="25" t="s">
        <v>21</v>
      </c>
      <c r="T509" s="25" t="s">
        <v>22</v>
      </c>
      <c r="U509" s="25" t="s">
        <v>23</v>
      </c>
    </row>
    <row r="510" ht="14.25" customHeight="1">
      <c r="A510" s="243">
        <v>22.0</v>
      </c>
      <c r="B510" s="159">
        <v>7454.0</v>
      </c>
      <c r="C510" s="159">
        <v>6153.0</v>
      </c>
      <c r="D510" s="282" t="s">
        <v>600</v>
      </c>
      <c r="E510" s="144"/>
      <c r="F510" s="259" t="s">
        <v>56</v>
      </c>
      <c r="G510" s="259" t="s">
        <v>56</v>
      </c>
      <c r="H510" s="259" t="s">
        <v>56</v>
      </c>
      <c r="I510" s="259" t="s">
        <v>56</v>
      </c>
      <c r="J510" s="259" t="s">
        <v>56</v>
      </c>
      <c r="K510" s="259" t="s">
        <v>56</v>
      </c>
      <c r="L510" s="259" t="s">
        <v>56</v>
      </c>
      <c r="M510" s="259" t="s">
        <v>56</v>
      </c>
      <c r="N510" s="259" t="s">
        <v>56</v>
      </c>
      <c r="O510" s="259" t="s">
        <v>56</v>
      </c>
      <c r="P510" s="259" t="s">
        <v>56</v>
      </c>
      <c r="Q510" s="259" t="s">
        <v>56</v>
      </c>
      <c r="R510" s="259" t="s">
        <v>56</v>
      </c>
      <c r="S510" s="259" t="s">
        <v>56</v>
      </c>
      <c r="T510" s="259" t="s">
        <v>56</v>
      </c>
      <c r="U510" s="259" t="s">
        <v>56</v>
      </c>
    </row>
    <row r="511" ht="14.25" customHeight="1">
      <c r="A511" s="243">
        <v>23.0</v>
      </c>
      <c r="B511" s="29">
        <v>7555.0</v>
      </c>
      <c r="C511" s="29">
        <v>6189.0</v>
      </c>
      <c r="D511" s="30" t="s">
        <v>601</v>
      </c>
      <c r="E511" s="144"/>
      <c r="F511" s="30"/>
      <c r="G511" s="269"/>
      <c r="H511" s="269"/>
      <c r="I511" s="29"/>
      <c r="J511" s="31"/>
      <c r="K511" s="29"/>
      <c r="L511" s="29"/>
      <c r="M511" s="29"/>
      <c r="N511" s="144">
        <v>19575.0</v>
      </c>
      <c r="O511" s="144"/>
      <c r="P511" s="144"/>
      <c r="Q511" s="144">
        <v>19575.0</v>
      </c>
      <c r="R511" s="105">
        <v>20995.0</v>
      </c>
      <c r="S511" s="27"/>
      <c r="T511" s="27"/>
      <c r="U511" s="27">
        <f t="shared" ref="U511:U513" si="33">Q511*1.1</f>
        <v>21532.5</v>
      </c>
    </row>
    <row r="512" ht="14.25" customHeight="1">
      <c r="A512" s="243">
        <v>24.0</v>
      </c>
      <c r="B512" s="29">
        <v>7587.0</v>
      </c>
      <c r="C512" s="29">
        <v>6214.0</v>
      </c>
      <c r="D512" s="30" t="s">
        <v>602</v>
      </c>
      <c r="E512" s="144"/>
      <c r="F512" s="30"/>
      <c r="G512" s="269"/>
      <c r="H512" s="269"/>
      <c r="I512" s="29"/>
      <c r="J512" s="31"/>
      <c r="K512" s="29"/>
      <c r="L512" s="29"/>
      <c r="M512" s="29"/>
      <c r="N512" s="144">
        <v>19575.0</v>
      </c>
      <c r="O512" s="144"/>
      <c r="P512" s="144"/>
      <c r="Q512" s="144">
        <v>19575.0</v>
      </c>
      <c r="R512" s="105">
        <v>20995.0</v>
      </c>
      <c r="S512" s="27"/>
      <c r="T512" s="27"/>
      <c r="U512" s="27">
        <f t="shared" si="33"/>
        <v>21532.5</v>
      </c>
    </row>
    <row r="513" ht="14.25" customHeight="1">
      <c r="A513" s="243">
        <v>25.0</v>
      </c>
      <c r="B513" s="29">
        <v>7674.0</v>
      </c>
      <c r="C513" s="29">
        <v>6282.0</v>
      </c>
      <c r="D513" s="76" t="s">
        <v>603</v>
      </c>
      <c r="E513" s="144"/>
      <c r="F513" s="30"/>
      <c r="G513" s="269"/>
      <c r="H513" s="269"/>
      <c r="I513" s="29"/>
      <c r="J513" s="31"/>
      <c r="K513" s="29"/>
      <c r="L513" s="29"/>
      <c r="M513" s="29"/>
      <c r="N513" s="144">
        <v>21575.0</v>
      </c>
      <c r="O513" s="144">
        <v>21575.0</v>
      </c>
      <c r="P513" s="144">
        <v>21575.0</v>
      </c>
      <c r="Q513" s="144">
        <v>19575.0</v>
      </c>
      <c r="R513" s="105">
        <v>20995.0</v>
      </c>
      <c r="S513" s="27"/>
      <c r="T513" s="27"/>
      <c r="U513" s="27">
        <f t="shared" si="33"/>
        <v>21532.5</v>
      </c>
    </row>
    <row r="514" ht="14.25" customHeight="1">
      <c r="A514" s="243">
        <v>26.0</v>
      </c>
      <c r="B514" s="29">
        <v>7917.0</v>
      </c>
      <c r="C514" s="29">
        <v>6437.0</v>
      </c>
      <c r="D514" s="30" t="s">
        <v>604</v>
      </c>
      <c r="E514" s="144"/>
      <c r="F514" s="30"/>
      <c r="G514" s="269"/>
      <c r="H514" s="269"/>
      <c r="I514" s="29"/>
      <c r="J514" s="31"/>
      <c r="K514" s="29"/>
      <c r="L514" s="29"/>
      <c r="M514" s="29"/>
      <c r="N514" s="144">
        <v>23975.0</v>
      </c>
      <c r="O514" s="144"/>
      <c r="P514" s="144"/>
      <c r="Q514" s="144">
        <v>19975.0</v>
      </c>
      <c r="R514" s="105"/>
      <c r="S514" s="27"/>
      <c r="T514" s="27"/>
      <c r="U514" s="105">
        <v>19975.0</v>
      </c>
    </row>
    <row r="515" ht="14.25" customHeight="1">
      <c r="A515" s="243">
        <v>27.0</v>
      </c>
      <c r="B515" s="29">
        <v>7929.0</v>
      </c>
      <c r="C515" s="29">
        <v>6445.0</v>
      </c>
      <c r="D515" s="30" t="s">
        <v>605</v>
      </c>
      <c r="E515" s="144"/>
      <c r="F515" s="30"/>
      <c r="G515" s="269"/>
      <c r="H515" s="269"/>
      <c r="I515" s="29"/>
      <c r="J515" s="31"/>
      <c r="K515" s="29"/>
      <c r="L515" s="29"/>
      <c r="M515" s="29"/>
      <c r="N515" s="144">
        <v>23975.0</v>
      </c>
      <c r="O515" s="144"/>
      <c r="P515" s="144"/>
      <c r="Q515" s="144">
        <v>19975.0</v>
      </c>
      <c r="R515" s="105"/>
      <c r="S515" s="27"/>
      <c r="T515" s="27"/>
      <c r="U515" s="105">
        <v>19975.0</v>
      </c>
    </row>
    <row r="516" ht="14.25" customHeight="1">
      <c r="A516" s="243">
        <v>28.0</v>
      </c>
      <c r="B516" s="271">
        <v>4424.0</v>
      </c>
      <c r="C516" s="271">
        <v>3866.0</v>
      </c>
      <c r="D516" s="272" t="s">
        <v>606</v>
      </c>
      <c r="E516" s="144"/>
      <c r="F516" s="259" t="s">
        <v>56</v>
      </c>
      <c r="G516" s="259" t="s">
        <v>56</v>
      </c>
      <c r="H516" s="259" t="s">
        <v>56</v>
      </c>
      <c r="I516" s="259" t="s">
        <v>56</v>
      </c>
      <c r="J516" s="259" t="s">
        <v>56</v>
      </c>
      <c r="K516" s="259" t="s">
        <v>56</v>
      </c>
      <c r="L516" s="259" t="s">
        <v>56</v>
      </c>
      <c r="M516" s="259" t="s">
        <v>56</v>
      </c>
      <c r="N516" s="259" t="s">
        <v>56</v>
      </c>
      <c r="O516" s="259" t="s">
        <v>56</v>
      </c>
      <c r="P516" s="259" t="s">
        <v>56</v>
      </c>
      <c r="Q516" s="259" t="s">
        <v>56</v>
      </c>
      <c r="R516" s="259" t="s">
        <v>56</v>
      </c>
      <c r="S516" s="259" t="s">
        <v>56</v>
      </c>
      <c r="T516" s="259" t="s">
        <v>56</v>
      </c>
      <c r="U516" s="259" t="s">
        <v>56</v>
      </c>
    </row>
    <row r="517" ht="14.25" customHeight="1">
      <c r="A517" s="243">
        <v>29.0</v>
      </c>
      <c r="B517" s="29">
        <v>7601.0</v>
      </c>
      <c r="C517" s="29">
        <v>6226.0</v>
      </c>
      <c r="D517" s="76" t="s">
        <v>607</v>
      </c>
      <c r="E517" s="144"/>
      <c r="F517" s="30"/>
      <c r="G517" s="269"/>
      <c r="H517" s="269"/>
      <c r="I517" s="29"/>
      <c r="J517" s="31"/>
      <c r="K517" s="29"/>
      <c r="L517" s="29"/>
      <c r="M517" s="29"/>
      <c r="N517" s="144">
        <v>19575.0</v>
      </c>
      <c r="O517" s="144"/>
      <c r="P517" s="144"/>
      <c r="Q517" s="144">
        <v>19575.0</v>
      </c>
      <c r="R517" s="105">
        <v>20995.0</v>
      </c>
      <c r="S517" s="27"/>
      <c r="T517" s="27"/>
      <c r="U517" s="27">
        <f t="shared" ref="U517:U518" si="34">Q517*1.1</f>
        <v>21532.5</v>
      </c>
    </row>
    <row r="518" ht="14.25" customHeight="1">
      <c r="A518" s="243">
        <v>30.0</v>
      </c>
      <c r="B518" s="265">
        <v>4962.0</v>
      </c>
      <c r="C518" s="29">
        <v>4276.0</v>
      </c>
      <c r="D518" s="76" t="s">
        <v>608</v>
      </c>
      <c r="E518" s="269" t="s">
        <v>609</v>
      </c>
      <c r="F518" s="144">
        <v>1258.0</v>
      </c>
      <c r="G518" s="269">
        <v>1258.0</v>
      </c>
      <c r="H518" s="269"/>
      <c r="I518" s="29">
        <v>12575.0</v>
      </c>
      <c r="J518" s="31"/>
      <c r="K518" s="29"/>
      <c r="L518" s="29"/>
      <c r="M518" s="29">
        <v>15975.0</v>
      </c>
      <c r="N518" s="29"/>
      <c r="O518" s="29"/>
      <c r="P518" s="29"/>
      <c r="Q518" s="29">
        <v>17975.0</v>
      </c>
      <c r="R518" s="105">
        <v>20995.0</v>
      </c>
      <c r="S518" s="27"/>
      <c r="T518" s="27"/>
      <c r="U518" s="27">
        <f t="shared" si="34"/>
        <v>19772.5</v>
      </c>
    </row>
    <row r="519" ht="14.25" customHeight="1">
      <c r="A519" s="283"/>
      <c r="B519" s="39"/>
      <c r="C519" s="39"/>
      <c r="D519" s="231"/>
      <c r="E519" s="284"/>
      <c r="F519" s="285"/>
      <c r="G519" s="284"/>
      <c r="H519" s="284"/>
      <c r="I519" s="39"/>
      <c r="J519" s="41"/>
      <c r="K519" s="39"/>
      <c r="L519" s="39"/>
      <c r="M519" s="39"/>
      <c r="N519" s="39"/>
      <c r="O519" s="39"/>
      <c r="P519" s="39"/>
      <c r="Q519" s="39"/>
      <c r="R519" s="3"/>
      <c r="S519" s="3"/>
      <c r="T519" s="3"/>
      <c r="U519" s="3"/>
    </row>
    <row r="520" ht="14.25" customHeight="1">
      <c r="A520" s="283"/>
      <c r="B520" s="39"/>
      <c r="C520" s="39"/>
      <c r="D520" s="231"/>
      <c r="E520" s="284"/>
      <c r="F520" s="285"/>
      <c r="G520" s="284"/>
      <c r="H520" s="284"/>
      <c r="I520" s="39"/>
      <c r="J520" s="41"/>
      <c r="K520" s="39"/>
      <c r="L520" s="39"/>
      <c r="M520" s="39"/>
      <c r="N520" s="39"/>
      <c r="O520" s="39"/>
      <c r="P520" s="39"/>
      <c r="Q520" s="39"/>
      <c r="R520" s="3"/>
      <c r="S520" s="3"/>
      <c r="T520" s="3"/>
      <c r="U520" s="3"/>
    </row>
    <row r="521" ht="14.25" customHeight="1">
      <c r="A521" s="283"/>
      <c r="B521" s="39"/>
      <c r="C521" s="39"/>
      <c r="D521" s="231"/>
      <c r="E521" s="284"/>
      <c r="F521" s="285"/>
      <c r="G521" s="284"/>
      <c r="H521" s="284"/>
      <c r="I521" s="39"/>
      <c r="J521" s="41"/>
      <c r="K521" s="39"/>
      <c r="L521" s="39"/>
      <c r="M521" s="39"/>
      <c r="N521" s="39"/>
      <c r="O521" s="39"/>
      <c r="P521" s="39"/>
      <c r="Q521" s="39"/>
      <c r="R521" s="3"/>
      <c r="S521" s="3"/>
      <c r="T521" s="3"/>
      <c r="U521" s="3"/>
    </row>
    <row r="522" ht="14.25" customHeight="1">
      <c r="A522" s="283"/>
      <c r="B522" s="39"/>
      <c r="C522" s="39"/>
      <c r="D522" s="231"/>
      <c r="E522" s="284"/>
      <c r="F522" s="285"/>
      <c r="G522" s="284"/>
      <c r="H522" s="284"/>
      <c r="I522" s="39"/>
      <c r="J522" s="41"/>
      <c r="K522" s="39"/>
      <c r="L522" s="39"/>
      <c r="M522" s="39"/>
      <c r="N522" s="39"/>
      <c r="O522" s="39"/>
      <c r="P522" s="39"/>
      <c r="Q522" s="39"/>
      <c r="R522" s="3"/>
      <c r="S522" s="3"/>
      <c r="T522" s="3"/>
      <c r="U522" s="3"/>
    </row>
    <row r="523" ht="14.25" customHeight="1">
      <c r="A523" s="283"/>
      <c r="B523" s="39"/>
      <c r="C523" s="39"/>
      <c r="D523" s="231"/>
      <c r="E523" s="284"/>
      <c r="F523" s="285"/>
      <c r="G523" s="284"/>
      <c r="H523" s="284"/>
      <c r="I523" s="39"/>
      <c r="J523" s="41"/>
      <c r="K523" s="39"/>
      <c r="L523" s="39"/>
      <c r="M523" s="39"/>
      <c r="N523" s="39"/>
      <c r="O523" s="39"/>
      <c r="P523" s="39"/>
      <c r="Q523" s="39"/>
      <c r="R523" s="3"/>
      <c r="S523" s="3"/>
      <c r="T523" s="3"/>
      <c r="U523" s="3"/>
    </row>
    <row r="524" ht="14.25" customHeight="1">
      <c r="A524" s="283"/>
      <c r="B524" s="39"/>
      <c r="C524" s="39"/>
      <c r="D524" s="231"/>
      <c r="E524" s="284"/>
      <c r="F524" s="285"/>
      <c r="G524" s="284"/>
      <c r="H524" s="284"/>
      <c r="I524" s="39"/>
      <c r="J524" s="41"/>
      <c r="K524" s="39"/>
      <c r="L524" s="39"/>
      <c r="M524" s="39"/>
      <c r="N524" s="39"/>
      <c r="O524" s="39"/>
      <c r="P524" s="39"/>
      <c r="Q524" s="39"/>
      <c r="R524" s="3"/>
      <c r="S524" s="3"/>
      <c r="T524" s="3"/>
      <c r="U524" s="3"/>
    </row>
    <row r="525" ht="14.25" customHeight="1">
      <c r="A525" s="283"/>
      <c r="B525" s="39"/>
      <c r="C525" s="39"/>
      <c r="D525" s="231"/>
      <c r="E525" s="284"/>
      <c r="F525" s="285"/>
      <c r="G525" s="284"/>
      <c r="H525" s="284"/>
      <c r="I525" s="39"/>
      <c r="J525" s="41"/>
      <c r="K525" s="39"/>
      <c r="L525" s="39"/>
      <c r="M525" s="39"/>
      <c r="N525" s="39"/>
      <c r="O525" s="39"/>
      <c r="P525" s="39"/>
      <c r="Q525" s="39"/>
      <c r="R525" s="3"/>
      <c r="S525" s="3"/>
      <c r="T525" s="3"/>
      <c r="U525" s="3"/>
    </row>
    <row r="526" ht="14.25" customHeight="1">
      <c r="A526" s="283"/>
      <c r="B526" s="39"/>
      <c r="C526" s="39"/>
      <c r="D526" s="231"/>
      <c r="E526" s="284"/>
      <c r="F526" s="285"/>
      <c r="G526" s="284"/>
      <c r="H526" s="284"/>
      <c r="I526" s="39"/>
      <c r="J526" s="41"/>
      <c r="K526" s="39"/>
      <c r="L526" s="39"/>
      <c r="M526" s="39"/>
      <c r="N526" s="39"/>
      <c r="O526" s="39"/>
      <c r="P526" s="39"/>
      <c r="Q526" s="39"/>
      <c r="R526" s="3"/>
      <c r="S526" s="3"/>
      <c r="T526" s="3"/>
      <c r="U526" s="3"/>
    </row>
    <row r="527" ht="14.25" customHeight="1">
      <c r="A527" s="283"/>
      <c r="B527" s="39"/>
      <c r="C527" s="39"/>
      <c r="D527" s="231"/>
      <c r="E527" s="284"/>
      <c r="F527" s="285"/>
      <c r="G527" s="284"/>
      <c r="H527" s="284"/>
      <c r="I527" s="39"/>
      <c r="J527" s="41"/>
      <c r="K527" s="39"/>
      <c r="L527" s="39"/>
      <c r="M527" s="39"/>
      <c r="N527" s="39"/>
      <c r="O527" s="39"/>
      <c r="P527" s="39"/>
      <c r="Q527" s="39"/>
      <c r="R527" s="3"/>
      <c r="S527" s="3"/>
      <c r="T527" s="3"/>
      <c r="U527" s="3"/>
    </row>
    <row r="528" ht="14.25" customHeight="1">
      <c r="A528" s="283"/>
      <c r="B528" s="39"/>
      <c r="C528" s="39"/>
      <c r="D528" s="231"/>
      <c r="E528" s="284"/>
      <c r="F528" s="285"/>
      <c r="G528" s="284"/>
      <c r="H528" s="284"/>
      <c r="I528" s="39"/>
      <c r="J528" s="41"/>
      <c r="K528" s="39"/>
      <c r="L528" s="39"/>
      <c r="M528" s="39"/>
      <c r="N528" s="39"/>
      <c r="O528" s="39"/>
      <c r="P528" s="39"/>
      <c r="Q528" s="39"/>
      <c r="R528" s="3"/>
      <c r="S528" s="3"/>
      <c r="T528" s="3"/>
      <c r="U528" s="3"/>
    </row>
    <row r="529" ht="14.25" customHeight="1">
      <c r="A529" s="283"/>
      <c r="B529" s="39"/>
      <c r="C529" s="39"/>
      <c r="D529" s="231"/>
      <c r="E529" s="284"/>
      <c r="F529" s="285"/>
      <c r="G529" s="284"/>
      <c r="H529" s="284"/>
      <c r="I529" s="39"/>
      <c r="J529" s="41"/>
      <c r="K529" s="39"/>
      <c r="L529" s="39"/>
      <c r="M529" s="39"/>
      <c r="N529" s="39"/>
      <c r="O529" s="39"/>
      <c r="P529" s="39"/>
      <c r="Q529" s="39"/>
      <c r="R529" s="3"/>
      <c r="S529" s="3"/>
      <c r="T529" s="3"/>
      <c r="U529" s="3"/>
    </row>
    <row r="530" ht="14.25" customHeight="1">
      <c r="A530" s="283"/>
      <c r="B530" s="39"/>
      <c r="C530" s="39"/>
      <c r="D530" s="231"/>
      <c r="E530" s="284"/>
      <c r="F530" s="285"/>
      <c r="G530" s="284"/>
      <c r="H530" s="284"/>
      <c r="I530" s="39"/>
      <c r="J530" s="41"/>
      <c r="K530" s="39"/>
      <c r="L530" s="39"/>
      <c r="M530" s="39"/>
      <c r="N530" s="39"/>
      <c r="O530" s="39"/>
      <c r="P530" s="39"/>
      <c r="Q530" s="39"/>
      <c r="R530" s="3"/>
      <c r="S530" s="3"/>
      <c r="T530" s="3"/>
      <c r="U530" s="3"/>
    </row>
    <row r="531" ht="14.25" customHeight="1">
      <c r="A531" s="283"/>
      <c r="B531" s="39"/>
      <c r="C531" s="39"/>
      <c r="D531" s="231"/>
      <c r="E531" s="284"/>
      <c r="F531" s="285"/>
      <c r="G531" s="284"/>
      <c r="H531" s="284"/>
      <c r="I531" s="39"/>
      <c r="J531" s="41"/>
      <c r="K531" s="39"/>
      <c r="L531" s="39"/>
      <c r="M531" s="39"/>
      <c r="N531" s="39"/>
      <c r="O531" s="39"/>
      <c r="P531" s="39"/>
      <c r="Q531" s="39"/>
      <c r="R531" s="3"/>
      <c r="S531" s="3"/>
      <c r="T531" s="3"/>
      <c r="U531" s="3"/>
    </row>
    <row r="532" ht="14.25" customHeight="1">
      <c r="A532" s="283"/>
      <c r="B532" s="39"/>
      <c r="C532" s="39"/>
      <c r="D532" s="231"/>
      <c r="E532" s="284"/>
      <c r="F532" s="285"/>
      <c r="G532" s="284"/>
      <c r="H532" s="284"/>
      <c r="I532" s="39"/>
      <c r="J532" s="41"/>
      <c r="K532" s="39"/>
      <c r="L532" s="39"/>
      <c r="M532" s="39"/>
      <c r="N532" s="39"/>
      <c r="O532" s="39"/>
      <c r="P532" s="39"/>
      <c r="Q532" s="39"/>
      <c r="R532" s="3"/>
      <c r="S532" s="3"/>
      <c r="T532" s="3"/>
      <c r="U532" s="3"/>
    </row>
    <row r="533" ht="14.25" customHeight="1">
      <c r="A533" s="283"/>
      <c r="B533" s="39"/>
      <c r="C533" s="39"/>
      <c r="D533" s="231"/>
      <c r="E533" s="284"/>
      <c r="F533" s="285"/>
      <c r="G533" s="284"/>
      <c r="H533" s="284"/>
      <c r="I533" s="39"/>
      <c r="J533" s="41"/>
      <c r="K533" s="39"/>
      <c r="L533" s="39"/>
      <c r="M533" s="39"/>
      <c r="N533" s="39"/>
      <c r="O533" s="39"/>
      <c r="P533" s="39"/>
      <c r="Q533" s="39"/>
      <c r="R533" s="3"/>
      <c r="S533" s="3"/>
      <c r="T533" s="3"/>
      <c r="U533" s="3"/>
    </row>
    <row r="534" ht="14.25" customHeight="1">
      <c r="A534" s="283"/>
      <c r="B534" s="39"/>
      <c r="C534" s="39"/>
      <c r="D534" s="231"/>
      <c r="E534" s="284"/>
      <c r="F534" s="285"/>
      <c r="G534" s="284"/>
      <c r="H534" s="284"/>
      <c r="I534" s="39"/>
      <c r="J534" s="41"/>
      <c r="K534" s="39"/>
      <c r="L534" s="39"/>
      <c r="M534" s="39"/>
      <c r="N534" s="39"/>
      <c r="O534" s="39"/>
      <c r="P534" s="39"/>
      <c r="Q534" s="39"/>
      <c r="R534" s="3"/>
      <c r="S534" s="3"/>
      <c r="T534" s="3"/>
      <c r="U534" s="3"/>
    </row>
    <row r="535" ht="14.25" customHeight="1">
      <c r="A535" s="283"/>
      <c r="B535" s="39"/>
      <c r="C535" s="39"/>
      <c r="D535" s="231"/>
      <c r="E535" s="284"/>
      <c r="F535" s="285"/>
      <c r="G535" s="284"/>
      <c r="H535" s="284"/>
      <c r="I535" s="39"/>
      <c r="J535" s="41"/>
      <c r="K535" s="39"/>
      <c r="L535" s="39"/>
      <c r="M535" s="39"/>
      <c r="N535" s="39"/>
      <c r="O535" s="39"/>
      <c r="P535" s="39"/>
      <c r="Q535" s="39"/>
      <c r="R535" s="3"/>
      <c r="S535" s="3"/>
      <c r="T535" s="3"/>
      <c r="U535" s="3"/>
    </row>
    <row r="536" ht="14.25" customHeight="1">
      <c r="A536" s="283"/>
      <c r="B536" s="39"/>
      <c r="C536" s="39"/>
      <c r="D536" s="231"/>
      <c r="E536" s="284"/>
      <c r="F536" s="285"/>
      <c r="G536" s="284"/>
      <c r="H536" s="284"/>
      <c r="I536" s="39"/>
      <c r="J536" s="41"/>
      <c r="K536" s="39"/>
      <c r="L536" s="39"/>
      <c r="M536" s="39"/>
      <c r="N536" s="39"/>
      <c r="O536" s="39"/>
      <c r="P536" s="39"/>
      <c r="Q536" s="39"/>
      <c r="R536" s="3"/>
      <c r="S536" s="3"/>
      <c r="T536" s="3"/>
      <c r="U536" s="3"/>
    </row>
    <row r="537" ht="14.25" customHeight="1">
      <c r="A537" s="283"/>
      <c r="B537" s="39"/>
      <c r="C537" s="39"/>
      <c r="D537" s="231"/>
      <c r="E537" s="284"/>
      <c r="F537" s="285"/>
      <c r="G537" s="284"/>
      <c r="H537" s="284"/>
      <c r="I537" s="39"/>
      <c r="J537" s="41"/>
      <c r="K537" s="39"/>
      <c r="L537" s="39"/>
      <c r="M537" s="39"/>
      <c r="N537" s="39"/>
      <c r="O537" s="39"/>
      <c r="P537" s="39"/>
      <c r="Q537" s="39"/>
      <c r="R537" s="3"/>
      <c r="S537" s="3"/>
      <c r="T537" s="3"/>
      <c r="U537" s="3"/>
    </row>
    <row r="538" ht="14.25" customHeight="1">
      <c r="A538" s="283"/>
      <c r="B538" s="39"/>
      <c r="C538" s="39"/>
      <c r="D538" s="231"/>
      <c r="E538" s="284"/>
      <c r="F538" s="285"/>
      <c r="G538" s="284"/>
      <c r="H538" s="284"/>
      <c r="I538" s="39"/>
      <c r="J538" s="41"/>
      <c r="K538" s="39"/>
      <c r="L538" s="39"/>
      <c r="M538" s="39"/>
      <c r="N538" s="39"/>
      <c r="O538" s="39"/>
      <c r="P538" s="39"/>
      <c r="Q538" s="39"/>
      <c r="R538" s="3"/>
      <c r="S538" s="3"/>
      <c r="T538" s="3"/>
      <c r="U538" s="3"/>
    </row>
    <row r="539" ht="14.25" customHeight="1">
      <c r="A539" s="248"/>
      <c r="B539" s="248"/>
      <c r="C539" s="248"/>
      <c r="D539" s="249"/>
      <c r="E539" s="249"/>
      <c r="F539" s="249"/>
      <c r="G539" s="286"/>
      <c r="H539" s="286"/>
      <c r="I539" s="5"/>
      <c r="J539" s="4"/>
      <c r="K539" s="5"/>
      <c r="L539" s="5"/>
      <c r="M539" s="5"/>
      <c r="N539" s="3"/>
      <c r="O539" s="3"/>
      <c r="P539" s="3"/>
      <c r="Q539" s="3"/>
      <c r="R539" s="3"/>
      <c r="S539" s="3"/>
    </row>
    <row r="540" ht="14.25" customHeight="1">
      <c r="A540" s="248"/>
      <c r="B540" s="248"/>
      <c r="C540" s="248"/>
      <c r="D540" s="249"/>
      <c r="E540" s="249"/>
      <c r="F540" s="249"/>
      <c r="G540" s="286"/>
      <c r="H540" s="286"/>
      <c r="I540" s="5"/>
      <c r="J540" s="4"/>
      <c r="K540" s="5"/>
      <c r="L540" s="5"/>
      <c r="M540" s="5"/>
      <c r="N540" s="3"/>
      <c r="O540" s="3"/>
      <c r="P540" s="3"/>
      <c r="Q540" s="3"/>
      <c r="R540" s="3"/>
      <c r="S540" s="3"/>
    </row>
    <row r="541" ht="14.25" customHeight="1">
      <c r="A541" s="3" t="s">
        <v>3</v>
      </c>
      <c r="B541" s="3"/>
      <c r="C541" s="3"/>
      <c r="D541" s="3"/>
      <c r="E541" s="249"/>
      <c r="F541" s="249"/>
      <c r="G541" s="286"/>
      <c r="H541" s="286"/>
      <c r="I541" s="5"/>
      <c r="J541" s="4"/>
      <c r="K541" s="5"/>
      <c r="L541" s="5"/>
      <c r="M541" s="5"/>
      <c r="N541" s="3"/>
      <c r="O541" s="3"/>
      <c r="P541" s="3"/>
      <c r="Q541" s="3"/>
      <c r="R541" s="3"/>
      <c r="S541" s="3"/>
    </row>
    <row r="542" ht="14.25" customHeight="1">
      <c r="A542" s="3" t="s">
        <v>4</v>
      </c>
      <c r="B542" s="3"/>
      <c r="C542" s="3"/>
      <c r="D542" s="3"/>
      <c r="E542" s="249"/>
      <c r="F542" s="249"/>
      <c r="G542" s="286"/>
      <c r="H542" s="286"/>
      <c r="I542" s="5"/>
      <c r="J542" s="4"/>
      <c r="K542" s="5"/>
      <c r="L542" s="5"/>
      <c r="M542" s="5"/>
      <c r="N542" s="3"/>
      <c r="O542" s="3"/>
      <c r="P542" s="3"/>
      <c r="Q542" s="3"/>
      <c r="R542" s="3"/>
      <c r="S542" s="3"/>
    </row>
    <row r="543" ht="14.25" customHeight="1">
      <c r="A543" s="248"/>
      <c r="B543" s="248"/>
      <c r="C543" s="248"/>
      <c r="D543" s="249"/>
      <c r="E543" s="249"/>
      <c r="F543" s="249"/>
      <c r="G543" s="286"/>
      <c r="H543" s="286"/>
      <c r="I543" s="5"/>
      <c r="J543" s="4"/>
      <c r="K543" s="5"/>
      <c r="L543" s="5"/>
      <c r="M543" s="5"/>
      <c r="N543" s="3"/>
      <c r="O543" s="3"/>
      <c r="P543" s="3"/>
      <c r="Q543" s="3"/>
      <c r="R543" s="3"/>
      <c r="S543" s="3"/>
    </row>
    <row r="544" ht="14.25" customHeight="1">
      <c r="A544" s="2" t="s">
        <v>2</v>
      </c>
    </row>
    <row r="545" ht="14.25" customHeight="1">
      <c r="A545" s="8" t="s">
        <v>610</v>
      </c>
    </row>
    <row r="546" ht="14.25" customHeight="1">
      <c r="A546" s="12" t="s">
        <v>7</v>
      </c>
    </row>
    <row r="547" ht="14.25" customHeight="1">
      <c r="A547" s="88" t="s">
        <v>8</v>
      </c>
      <c r="B547" s="88" t="s">
        <v>9</v>
      </c>
      <c r="C547" s="89" t="s">
        <v>10</v>
      </c>
      <c r="D547" s="90" t="s">
        <v>11</v>
      </c>
      <c r="E547" s="91" t="s">
        <v>12</v>
      </c>
      <c r="F547" s="92" t="s">
        <v>13</v>
      </c>
      <c r="G547" s="93"/>
      <c r="H547" s="93"/>
      <c r="I547" s="94"/>
      <c r="J547" s="95" t="s">
        <v>15</v>
      </c>
      <c r="K547" s="93"/>
      <c r="L547" s="93"/>
      <c r="M547" s="96"/>
      <c r="N547" s="97" t="s">
        <v>17</v>
      </c>
      <c r="O547" s="93"/>
      <c r="P547" s="93"/>
      <c r="Q547" s="98"/>
      <c r="R547" s="52" t="s">
        <v>18</v>
      </c>
      <c r="S547" s="16"/>
      <c r="T547" s="16"/>
      <c r="U547" s="17"/>
    </row>
    <row r="548" ht="14.25" customHeight="1">
      <c r="A548" s="22"/>
      <c r="B548" s="22"/>
      <c r="C548" s="22"/>
      <c r="D548" s="22"/>
      <c r="E548" s="22"/>
      <c r="F548" s="25" t="s">
        <v>20</v>
      </c>
      <c r="G548" s="25" t="s">
        <v>21</v>
      </c>
      <c r="H548" s="25" t="s">
        <v>22</v>
      </c>
      <c r="I548" s="25" t="s">
        <v>23</v>
      </c>
      <c r="J548" s="25" t="s">
        <v>20</v>
      </c>
      <c r="K548" s="25" t="s">
        <v>21</v>
      </c>
      <c r="L548" s="25" t="s">
        <v>22</v>
      </c>
      <c r="M548" s="25" t="s">
        <v>23</v>
      </c>
      <c r="N548" s="25" t="s">
        <v>20</v>
      </c>
      <c r="O548" s="25" t="s">
        <v>21</v>
      </c>
      <c r="P548" s="25" t="s">
        <v>22</v>
      </c>
      <c r="Q548" s="25" t="s">
        <v>23</v>
      </c>
      <c r="R548" s="25" t="s">
        <v>20</v>
      </c>
      <c r="S548" s="25" t="s">
        <v>21</v>
      </c>
      <c r="T548" s="25" t="s">
        <v>22</v>
      </c>
      <c r="U548" s="25" t="s">
        <v>23</v>
      </c>
    </row>
    <row r="549" ht="14.25" customHeight="1">
      <c r="A549" s="243">
        <v>1.0</v>
      </c>
      <c r="B549" s="225">
        <v>4258.0</v>
      </c>
      <c r="C549" s="225">
        <v>3705.0</v>
      </c>
      <c r="D549" s="222" t="s">
        <v>611</v>
      </c>
      <c r="E549" s="223" t="s">
        <v>612</v>
      </c>
      <c r="F549" s="144">
        <v>13575.0</v>
      </c>
      <c r="G549" s="144">
        <v>13575.0</v>
      </c>
      <c r="H549" s="144"/>
      <c r="I549" s="144">
        <v>13575.0</v>
      </c>
      <c r="J549" s="144"/>
      <c r="K549" s="144"/>
      <c r="L549" s="144"/>
      <c r="M549" s="144">
        <v>15175.0</v>
      </c>
      <c r="N549" s="260"/>
      <c r="O549" s="144"/>
      <c r="P549" s="144"/>
      <c r="Q549" s="144">
        <v>17975.0</v>
      </c>
      <c r="R549" s="287">
        <v>21995.0</v>
      </c>
      <c r="S549" s="144"/>
      <c r="T549" s="144"/>
      <c r="U549" s="144">
        <f t="shared" ref="U549:U562" si="35">Q549*1.1</f>
        <v>19772.5</v>
      </c>
    </row>
    <row r="550" ht="14.25" customHeight="1">
      <c r="A550" s="243">
        <v>2.0</v>
      </c>
      <c r="B550" s="225">
        <v>5130.0</v>
      </c>
      <c r="C550" s="225">
        <v>4416.0</v>
      </c>
      <c r="D550" s="222" t="s">
        <v>613</v>
      </c>
      <c r="E550" s="223" t="s">
        <v>614</v>
      </c>
      <c r="F550" s="259">
        <v>1357.0</v>
      </c>
      <c r="G550" s="144">
        <v>1357.0</v>
      </c>
      <c r="H550" s="144"/>
      <c r="I550" s="144">
        <v>13575.0</v>
      </c>
      <c r="J550" s="144"/>
      <c r="K550" s="144"/>
      <c r="L550" s="144"/>
      <c r="M550" s="144">
        <v>16575.0</v>
      </c>
      <c r="N550" s="260"/>
      <c r="O550" s="144"/>
      <c r="P550" s="144"/>
      <c r="Q550" s="144">
        <v>18975.0</v>
      </c>
      <c r="R550" s="287">
        <v>21995.0</v>
      </c>
      <c r="S550" s="144"/>
      <c r="T550" s="144"/>
      <c r="U550" s="144">
        <f t="shared" si="35"/>
        <v>20872.5</v>
      </c>
    </row>
    <row r="551" ht="14.25" customHeight="1">
      <c r="A551" s="243">
        <v>3.0</v>
      </c>
      <c r="B551" s="225">
        <v>6696.0</v>
      </c>
      <c r="C551" s="225">
        <v>5564.0</v>
      </c>
      <c r="D551" s="222" t="s">
        <v>615</v>
      </c>
      <c r="E551" s="223" t="s">
        <v>616</v>
      </c>
      <c r="F551" s="259">
        <v>1358.0</v>
      </c>
      <c r="G551" s="144">
        <v>1358.0</v>
      </c>
      <c r="H551" s="144">
        <v>1358.0</v>
      </c>
      <c r="I551" s="144">
        <v>13575.0</v>
      </c>
      <c r="J551" s="144"/>
      <c r="K551" s="144"/>
      <c r="L551" s="144"/>
      <c r="M551" s="144">
        <v>17675.0</v>
      </c>
      <c r="N551" s="260"/>
      <c r="O551" s="144"/>
      <c r="P551" s="144"/>
      <c r="Q551" s="144">
        <v>19975.0</v>
      </c>
      <c r="R551" s="287">
        <v>21995.0</v>
      </c>
      <c r="S551" s="144"/>
      <c r="T551" s="144"/>
      <c r="U551" s="144">
        <f t="shared" si="35"/>
        <v>21972.5</v>
      </c>
    </row>
    <row r="552" ht="14.25" customHeight="1">
      <c r="A552" s="243">
        <v>4.0</v>
      </c>
      <c r="B552" s="225">
        <v>5762.0</v>
      </c>
      <c r="C552" s="225">
        <v>4871.0</v>
      </c>
      <c r="D552" s="222" t="s">
        <v>617</v>
      </c>
      <c r="E552" s="223" t="s">
        <v>618</v>
      </c>
      <c r="F552" s="259">
        <v>1358.0</v>
      </c>
      <c r="G552" s="144">
        <v>1358.0</v>
      </c>
      <c r="H552" s="144"/>
      <c r="I552" s="144">
        <v>13575.0</v>
      </c>
      <c r="J552" s="144"/>
      <c r="K552" s="144"/>
      <c r="L552" s="144"/>
      <c r="M552" s="144">
        <v>16575.0</v>
      </c>
      <c r="N552" s="260"/>
      <c r="O552" s="144"/>
      <c r="P552" s="144"/>
      <c r="Q552" s="144">
        <v>18975.0</v>
      </c>
      <c r="R552" s="287">
        <v>21995.0</v>
      </c>
      <c r="S552" s="144"/>
      <c r="T552" s="144"/>
      <c r="U552" s="144">
        <f t="shared" si="35"/>
        <v>20872.5</v>
      </c>
    </row>
    <row r="553" ht="14.25" customHeight="1">
      <c r="A553" s="243">
        <v>5.0</v>
      </c>
      <c r="B553" s="225">
        <v>5400.0</v>
      </c>
      <c r="C553" s="225">
        <v>4624.0</v>
      </c>
      <c r="D553" s="222" t="s">
        <v>619</v>
      </c>
      <c r="E553" s="223" t="s">
        <v>620</v>
      </c>
      <c r="F553" s="259">
        <v>1358.0</v>
      </c>
      <c r="G553" s="144">
        <v>1358.0</v>
      </c>
      <c r="H553" s="144"/>
      <c r="I553" s="144">
        <v>13575.0</v>
      </c>
      <c r="J553" s="144"/>
      <c r="K553" s="144"/>
      <c r="L553" s="144"/>
      <c r="M553" s="144">
        <v>16575.0</v>
      </c>
      <c r="N553" s="260"/>
      <c r="O553" s="144"/>
      <c r="P553" s="144"/>
      <c r="Q553" s="144">
        <v>18975.0</v>
      </c>
      <c r="R553" s="287">
        <v>21995.0</v>
      </c>
      <c r="S553" s="144"/>
      <c r="T553" s="144"/>
      <c r="U553" s="144">
        <f t="shared" si="35"/>
        <v>20872.5</v>
      </c>
    </row>
    <row r="554" ht="14.25" customHeight="1">
      <c r="A554" s="243">
        <v>6.0</v>
      </c>
      <c r="B554" s="225">
        <v>7246.0</v>
      </c>
      <c r="C554" s="225">
        <v>5974.0</v>
      </c>
      <c r="D554" s="222" t="s">
        <v>621</v>
      </c>
      <c r="E554" s="223" t="s">
        <v>622</v>
      </c>
      <c r="F554" s="259"/>
      <c r="G554" s="144"/>
      <c r="H554" s="144"/>
      <c r="I554" s="144"/>
      <c r="J554" s="144">
        <v>19575.0</v>
      </c>
      <c r="K554" s="144"/>
      <c r="L554" s="144"/>
      <c r="M554" s="144">
        <v>13575.0</v>
      </c>
      <c r="N554" s="260"/>
      <c r="O554" s="144"/>
      <c r="P554" s="144"/>
      <c r="Q554" s="144">
        <v>18975.0</v>
      </c>
      <c r="R554" s="287">
        <v>21995.0</v>
      </c>
      <c r="S554" s="144"/>
      <c r="T554" s="144"/>
      <c r="U554" s="144">
        <f t="shared" si="35"/>
        <v>20872.5</v>
      </c>
    </row>
    <row r="555" ht="14.25" customHeight="1">
      <c r="A555" s="243">
        <v>7.0</v>
      </c>
      <c r="B555" s="225">
        <v>7273.0</v>
      </c>
      <c r="C555" s="225">
        <v>5995.0</v>
      </c>
      <c r="D555" s="222" t="s">
        <v>623</v>
      </c>
      <c r="E555" s="223" t="s">
        <v>624</v>
      </c>
      <c r="F555" s="259"/>
      <c r="G555" s="144"/>
      <c r="H555" s="144"/>
      <c r="I555" s="144"/>
      <c r="J555" s="144">
        <v>19575.0</v>
      </c>
      <c r="K555" s="144"/>
      <c r="L555" s="144"/>
      <c r="M555" s="144">
        <v>17575.0</v>
      </c>
      <c r="N555" s="260"/>
      <c r="O555" s="144"/>
      <c r="P555" s="144"/>
      <c r="Q555" s="144">
        <v>19975.0</v>
      </c>
      <c r="R555" s="287">
        <v>21995.0</v>
      </c>
      <c r="S555" s="144"/>
      <c r="T555" s="144"/>
      <c r="U555" s="144">
        <f t="shared" si="35"/>
        <v>21972.5</v>
      </c>
    </row>
    <row r="556" ht="14.25" customHeight="1">
      <c r="A556" s="243">
        <v>8.0</v>
      </c>
      <c r="B556" s="225">
        <v>7336.0</v>
      </c>
      <c r="C556" s="225">
        <v>6053.0</v>
      </c>
      <c r="D556" s="222" t="s">
        <v>625</v>
      </c>
      <c r="E556" s="223" t="s">
        <v>626</v>
      </c>
      <c r="F556" s="259"/>
      <c r="G556" s="144"/>
      <c r="H556" s="144"/>
      <c r="I556" s="144"/>
      <c r="J556" s="144">
        <v>19575.0</v>
      </c>
      <c r="K556" s="144"/>
      <c r="L556" s="144"/>
      <c r="M556" s="144">
        <v>17575.0</v>
      </c>
      <c r="N556" s="260"/>
      <c r="O556" s="144"/>
      <c r="P556" s="144"/>
      <c r="Q556" s="144">
        <v>19975.0</v>
      </c>
      <c r="R556" s="287">
        <v>21995.0</v>
      </c>
      <c r="S556" s="144"/>
      <c r="T556" s="144"/>
      <c r="U556" s="144">
        <f t="shared" si="35"/>
        <v>21972.5</v>
      </c>
    </row>
    <row r="557" ht="14.25" customHeight="1">
      <c r="A557" s="109">
        <v>9.0</v>
      </c>
      <c r="B557" s="288">
        <v>6400.0</v>
      </c>
      <c r="C557" s="288">
        <v>5346.0</v>
      </c>
      <c r="D557" s="289" t="s">
        <v>627</v>
      </c>
      <c r="E557" s="290" t="s">
        <v>628</v>
      </c>
      <c r="F557" s="291">
        <v>1358.0</v>
      </c>
      <c r="G557" s="73">
        <v>1358.0</v>
      </c>
      <c r="H557" s="73"/>
      <c r="I557" s="292"/>
      <c r="J557" s="150">
        <f>SUM(F557:I557)</f>
        <v>2716</v>
      </c>
      <c r="K557" s="85"/>
      <c r="L557" s="85"/>
      <c r="M557" s="73">
        <v>16575.0</v>
      </c>
      <c r="N557" s="293"/>
      <c r="O557" s="73"/>
      <c r="P557" s="73"/>
      <c r="Q557" s="73">
        <v>18975.0</v>
      </c>
      <c r="R557" s="151">
        <v>21995.0</v>
      </c>
      <c r="S557" s="73"/>
      <c r="T557" s="73"/>
      <c r="U557" s="73">
        <f t="shared" si="35"/>
        <v>20872.5</v>
      </c>
      <c r="V557" s="75"/>
      <c r="W557" s="75"/>
      <c r="X557" s="75"/>
      <c r="Y557" s="75"/>
    </row>
    <row r="558" ht="14.25" customHeight="1">
      <c r="A558" s="243">
        <v>10.0</v>
      </c>
      <c r="B558" s="29">
        <v>6717.0</v>
      </c>
      <c r="C558" s="29">
        <v>5583.0</v>
      </c>
      <c r="D558" s="76" t="s">
        <v>629</v>
      </c>
      <c r="E558" s="30"/>
      <c r="F558" s="30">
        <v>1258.0</v>
      </c>
      <c r="G558" s="269">
        <v>1258.0</v>
      </c>
      <c r="H558" s="269">
        <v>1258.0</v>
      </c>
      <c r="I558" s="29">
        <v>12575.0</v>
      </c>
      <c r="J558" s="31"/>
      <c r="K558" s="29"/>
      <c r="L558" s="29"/>
      <c r="M558" s="29">
        <v>16575.0</v>
      </c>
      <c r="N558" s="144"/>
      <c r="O558" s="144"/>
      <c r="P558" s="144"/>
      <c r="Q558" s="144">
        <v>18975.0</v>
      </c>
      <c r="R558" s="287">
        <v>21995.0</v>
      </c>
      <c r="S558" s="144"/>
      <c r="T558" s="144"/>
      <c r="U558" s="144">
        <f t="shared" si="35"/>
        <v>20872.5</v>
      </c>
    </row>
    <row r="559" ht="14.25" customHeight="1">
      <c r="A559" s="243">
        <v>11.0</v>
      </c>
      <c r="B559" s="29">
        <v>5402.0</v>
      </c>
      <c r="C559" s="29">
        <v>4626.0</v>
      </c>
      <c r="D559" s="76" t="s">
        <v>630</v>
      </c>
      <c r="E559" s="30"/>
      <c r="F559" s="30"/>
      <c r="G559" s="269"/>
      <c r="H559" s="269"/>
      <c r="I559" s="29"/>
      <c r="J559" s="31"/>
      <c r="K559" s="29"/>
      <c r="L559" s="29"/>
      <c r="M559" s="29">
        <v>16575.0</v>
      </c>
      <c r="N559" s="144"/>
      <c r="O559" s="144"/>
      <c r="P559" s="144"/>
      <c r="Q559" s="144">
        <v>18975.0</v>
      </c>
      <c r="R559" s="287">
        <v>21995.0</v>
      </c>
      <c r="S559" s="144"/>
      <c r="T559" s="144"/>
      <c r="U559" s="144">
        <f t="shared" si="35"/>
        <v>20872.5</v>
      </c>
    </row>
    <row r="560" ht="14.25" customHeight="1">
      <c r="A560" s="243">
        <v>12.0</v>
      </c>
      <c r="B560" s="29">
        <v>5822.0</v>
      </c>
      <c r="C560" s="29">
        <v>4918.0</v>
      </c>
      <c r="D560" s="76" t="s">
        <v>631</v>
      </c>
      <c r="E560" s="30"/>
      <c r="F560" s="30"/>
      <c r="G560" s="269"/>
      <c r="H560" s="269"/>
      <c r="I560" s="29"/>
      <c r="J560" s="31"/>
      <c r="K560" s="29"/>
      <c r="L560" s="29"/>
      <c r="M560" s="29">
        <v>18575.0</v>
      </c>
      <c r="N560" s="144"/>
      <c r="O560" s="144"/>
      <c r="P560" s="144"/>
      <c r="Q560" s="144">
        <v>19975.0</v>
      </c>
      <c r="R560" s="287">
        <v>21995.0</v>
      </c>
      <c r="S560" s="144"/>
      <c r="T560" s="144"/>
      <c r="U560" s="144">
        <f t="shared" si="35"/>
        <v>21972.5</v>
      </c>
    </row>
    <row r="561" ht="14.25" customHeight="1">
      <c r="A561" s="243">
        <v>13.0</v>
      </c>
      <c r="B561" s="29">
        <v>6507.0</v>
      </c>
      <c r="C561" s="29">
        <v>5417.0</v>
      </c>
      <c r="D561" s="62" t="s">
        <v>632</v>
      </c>
      <c r="E561" s="144"/>
      <c r="F561" s="267">
        <v>1358.0</v>
      </c>
      <c r="G561" s="268">
        <v>1358.0</v>
      </c>
      <c r="H561" s="269">
        <v>1358.0</v>
      </c>
      <c r="I561" s="29">
        <v>13575.0</v>
      </c>
      <c r="J561" s="31"/>
      <c r="K561" s="29"/>
      <c r="L561" s="29"/>
      <c r="M561" s="29">
        <v>17675.0</v>
      </c>
      <c r="N561" s="265"/>
      <c r="O561" s="29"/>
      <c r="P561" s="29"/>
      <c r="Q561" s="29">
        <v>19975.0</v>
      </c>
      <c r="R561" s="287">
        <v>21995.0</v>
      </c>
      <c r="S561" s="144"/>
      <c r="T561" s="144"/>
      <c r="U561" s="144">
        <f t="shared" si="35"/>
        <v>21972.5</v>
      </c>
    </row>
    <row r="562" ht="14.25" customHeight="1">
      <c r="A562" s="243">
        <v>14.0</v>
      </c>
      <c r="B562" s="159">
        <v>7341.0</v>
      </c>
      <c r="C562" s="159">
        <v>6058.0</v>
      </c>
      <c r="D562" s="67" t="s">
        <v>633</v>
      </c>
      <c r="E562" s="144"/>
      <c r="F562" s="30"/>
      <c r="G562" s="269"/>
      <c r="H562" s="269"/>
      <c r="I562" s="29"/>
      <c r="J562" s="31"/>
      <c r="K562" s="29"/>
      <c r="L562" s="29"/>
      <c r="M562" s="29"/>
      <c r="N562" s="144">
        <v>19575.0</v>
      </c>
      <c r="O562" s="144"/>
      <c r="P562" s="144"/>
      <c r="Q562" s="144">
        <v>19575.0</v>
      </c>
      <c r="R562" s="287">
        <v>21995.0</v>
      </c>
      <c r="S562" s="144"/>
      <c r="T562" s="144"/>
      <c r="U562" s="144">
        <f t="shared" si="35"/>
        <v>21532.5</v>
      </c>
    </row>
    <row r="563" ht="14.25" customHeight="1">
      <c r="A563" s="243">
        <v>15.0</v>
      </c>
      <c r="B563" s="159">
        <v>7376.0</v>
      </c>
      <c r="C563" s="159">
        <v>6091.0</v>
      </c>
      <c r="D563" s="67" t="s">
        <v>634</v>
      </c>
      <c r="E563" s="144"/>
      <c r="F563" s="30"/>
      <c r="G563" s="269"/>
      <c r="H563" s="269"/>
      <c r="I563" s="29"/>
      <c r="J563" s="144" t="s">
        <v>635</v>
      </c>
      <c r="K563" s="29"/>
      <c r="L563" s="29"/>
      <c r="M563" s="29"/>
      <c r="N563" s="144" t="s">
        <v>350</v>
      </c>
      <c r="O563" s="144"/>
      <c r="P563" s="144"/>
      <c r="Q563" s="144"/>
      <c r="R563" s="144"/>
      <c r="S563" s="144"/>
      <c r="T563" s="144"/>
      <c r="U563" s="144"/>
    </row>
    <row r="564" ht="14.25" customHeight="1">
      <c r="A564" s="243">
        <v>16.0</v>
      </c>
      <c r="B564" s="29">
        <v>7579.0</v>
      </c>
      <c r="C564" s="29">
        <v>6206.0</v>
      </c>
      <c r="D564" s="30" t="s">
        <v>636</v>
      </c>
      <c r="E564" s="144"/>
      <c r="F564" s="30"/>
      <c r="G564" s="269"/>
      <c r="H564" s="269"/>
      <c r="I564" s="29"/>
      <c r="J564" s="31"/>
      <c r="K564" s="29"/>
      <c r="L564" s="29"/>
      <c r="M564" s="29"/>
      <c r="N564" s="144">
        <v>20575.0</v>
      </c>
      <c r="O564" s="144"/>
      <c r="P564" s="144"/>
      <c r="Q564" s="144">
        <v>20575.0</v>
      </c>
      <c r="R564" s="287">
        <v>21995.0</v>
      </c>
      <c r="S564" s="144"/>
      <c r="T564" s="144"/>
      <c r="U564" s="144">
        <f t="shared" ref="U564:U569" si="36">Q564*1.1</f>
        <v>22632.5</v>
      </c>
    </row>
    <row r="565" ht="14.25" customHeight="1">
      <c r="A565" s="243">
        <v>17.0</v>
      </c>
      <c r="B565" s="29">
        <v>7588.0</v>
      </c>
      <c r="C565" s="29">
        <v>6215.0</v>
      </c>
      <c r="D565" s="30" t="s">
        <v>637</v>
      </c>
      <c r="E565" s="144"/>
      <c r="F565" s="30"/>
      <c r="G565" s="269"/>
      <c r="H565" s="269"/>
      <c r="I565" s="29"/>
      <c r="J565" s="31"/>
      <c r="K565" s="29"/>
      <c r="L565" s="29"/>
      <c r="M565" s="29"/>
      <c r="N565" s="144">
        <v>20575.0</v>
      </c>
      <c r="O565" s="144"/>
      <c r="P565" s="144"/>
      <c r="Q565" s="144">
        <v>20575.0</v>
      </c>
      <c r="R565" s="287">
        <v>21995.0</v>
      </c>
      <c r="S565" s="144"/>
      <c r="T565" s="144"/>
      <c r="U565" s="144">
        <f t="shared" si="36"/>
        <v>22632.5</v>
      </c>
    </row>
    <row r="566" ht="14.25" customHeight="1">
      <c r="A566" s="243">
        <v>18.0</v>
      </c>
      <c r="B566" s="29">
        <v>7605.0</v>
      </c>
      <c r="C566" s="29">
        <v>6230.0</v>
      </c>
      <c r="D566" s="30" t="s">
        <v>638</v>
      </c>
      <c r="E566" s="144"/>
      <c r="F566" s="30"/>
      <c r="G566" s="269"/>
      <c r="H566" s="269"/>
      <c r="I566" s="29"/>
      <c r="J566" s="31"/>
      <c r="K566" s="29"/>
      <c r="L566" s="29"/>
      <c r="M566" s="29"/>
      <c r="N566" s="144">
        <v>20575.0</v>
      </c>
      <c r="O566" s="144"/>
      <c r="P566" s="144"/>
      <c r="Q566" s="144">
        <v>20575.0</v>
      </c>
      <c r="R566" s="287">
        <v>21995.0</v>
      </c>
      <c r="S566" s="144"/>
      <c r="T566" s="144"/>
      <c r="U566" s="144">
        <f t="shared" si="36"/>
        <v>22632.5</v>
      </c>
    </row>
    <row r="567" ht="14.25" customHeight="1">
      <c r="A567" s="243">
        <v>19.0</v>
      </c>
      <c r="B567" s="29">
        <v>7635.0</v>
      </c>
      <c r="C567" s="29">
        <v>6251.0</v>
      </c>
      <c r="D567" s="30" t="s">
        <v>639</v>
      </c>
      <c r="E567" s="144"/>
      <c r="F567" s="30"/>
      <c r="G567" s="269"/>
      <c r="H567" s="269"/>
      <c r="I567" s="29"/>
      <c r="J567" s="31"/>
      <c r="K567" s="29"/>
      <c r="L567" s="29"/>
      <c r="M567" s="29"/>
      <c r="N567" s="144">
        <v>20575.0</v>
      </c>
      <c r="O567" s="144"/>
      <c r="P567" s="144"/>
      <c r="Q567" s="144">
        <v>20575.0</v>
      </c>
      <c r="R567" s="287">
        <v>21995.0</v>
      </c>
      <c r="S567" s="144"/>
      <c r="T567" s="144"/>
      <c r="U567" s="144">
        <f t="shared" si="36"/>
        <v>22632.5</v>
      </c>
    </row>
    <row r="568" ht="14.25" customHeight="1">
      <c r="A568" s="243">
        <v>20.0</v>
      </c>
      <c r="B568" s="29">
        <v>7570.0</v>
      </c>
      <c r="C568" s="29">
        <v>6197.0</v>
      </c>
      <c r="D568" s="30" t="s">
        <v>640</v>
      </c>
      <c r="E568" s="76" t="s">
        <v>641</v>
      </c>
      <c r="F568" s="144"/>
      <c r="G568" s="144"/>
      <c r="H568" s="269"/>
      <c r="I568" s="29"/>
      <c r="J568" s="31"/>
      <c r="K568" s="29"/>
      <c r="L568" s="29"/>
      <c r="M568" s="29"/>
      <c r="N568" s="144"/>
      <c r="O568" s="144"/>
      <c r="P568" s="144"/>
      <c r="Q568" s="144">
        <v>20575.0</v>
      </c>
      <c r="R568" s="287">
        <v>21995.0</v>
      </c>
      <c r="S568" s="144"/>
      <c r="T568" s="144"/>
      <c r="U568" s="144">
        <f t="shared" si="36"/>
        <v>22632.5</v>
      </c>
    </row>
    <row r="569" ht="14.25" customHeight="1">
      <c r="A569" s="243">
        <v>21.0</v>
      </c>
      <c r="B569" s="271">
        <v>7664.0</v>
      </c>
      <c r="C569" s="271">
        <v>6273.0</v>
      </c>
      <c r="D569" s="272" t="s">
        <v>642</v>
      </c>
      <c r="E569" s="294" t="s">
        <v>643</v>
      </c>
      <c r="F569" s="285"/>
      <c r="G569" s="285"/>
      <c r="H569" s="284"/>
      <c r="I569" s="39"/>
      <c r="J569" s="41"/>
      <c r="K569" s="39"/>
      <c r="L569" s="39"/>
      <c r="M569" s="39"/>
      <c r="N569" s="295">
        <v>22575.0</v>
      </c>
      <c r="O569" s="264"/>
      <c r="P569" s="264"/>
      <c r="Q569" s="264">
        <v>20575.0</v>
      </c>
      <c r="R569" s="287">
        <v>21995.0</v>
      </c>
      <c r="S569" s="279"/>
      <c r="T569" s="279"/>
      <c r="U569" s="144">
        <f t="shared" si="36"/>
        <v>22632.5</v>
      </c>
    </row>
    <row r="570" ht="14.25" customHeight="1">
      <c r="A570" s="88" t="s">
        <v>8</v>
      </c>
      <c r="B570" s="88" t="s">
        <v>9</v>
      </c>
      <c r="C570" s="89" t="s">
        <v>10</v>
      </c>
      <c r="D570" s="90" t="s">
        <v>11</v>
      </c>
      <c r="E570" s="91" t="s">
        <v>12</v>
      </c>
      <c r="F570" s="92" t="s">
        <v>13</v>
      </c>
      <c r="G570" s="93"/>
      <c r="H570" s="93"/>
      <c r="I570" s="94"/>
      <c r="J570" s="95" t="s">
        <v>15</v>
      </c>
      <c r="K570" s="93"/>
      <c r="L570" s="93"/>
      <c r="M570" s="96"/>
      <c r="N570" s="97" t="s">
        <v>17</v>
      </c>
      <c r="O570" s="93"/>
      <c r="P570" s="93"/>
      <c r="Q570" s="98"/>
      <c r="R570" s="52" t="s">
        <v>18</v>
      </c>
      <c r="S570" s="16"/>
      <c r="T570" s="16"/>
      <c r="U570" s="17"/>
    </row>
    <row r="571" ht="14.25" customHeight="1">
      <c r="A571" s="22"/>
      <c r="B571" s="22"/>
      <c r="C571" s="22"/>
      <c r="D571" s="22"/>
      <c r="E571" s="22"/>
      <c r="F571" s="25" t="s">
        <v>20</v>
      </c>
      <c r="G571" s="25" t="s">
        <v>21</v>
      </c>
      <c r="H571" s="25" t="s">
        <v>22</v>
      </c>
      <c r="I571" s="25" t="s">
        <v>23</v>
      </c>
      <c r="J571" s="25" t="s">
        <v>20</v>
      </c>
      <c r="K571" s="25" t="s">
        <v>21</v>
      </c>
      <c r="L571" s="25" t="s">
        <v>22</v>
      </c>
      <c r="M571" s="25" t="s">
        <v>23</v>
      </c>
      <c r="N571" s="25" t="s">
        <v>20</v>
      </c>
      <c r="O571" s="25" t="s">
        <v>21</v>
      </c>
      <c r="P571" s="25" t="s">
        <v>22</v>
      </c>
      <c r="Q571" s="25" t="s">
        <v>23</v>
      </c>
      <c r="R571" s="25" t="s">
        <v>20</v>
      </c>
      <c r="S571" s="25" t="s">
        <v>21</v>
      </c>
      <c r="T571" s="25" t="s">
        <v>22</v>
      </c>
      <c r="U571" s="25" t="s">
        <v>23</v>
      </c>
    </row>
    <row r="572" ht="14.25" customHeight="1">
      <c r="A572" s="243">
        <v>22.0</v>
      </c>
      <c r="B572" s="29">
        <v>7726.0</v>
      </c>
      <c r="C572" s="29">
        <v>6320.0</v>
      </c>
      <c r="D572" s="30" t="s">
        <v>644</v>
      </c>
      <c r="E572" s="76" t="s">
        <v>645</v>
      </c>
      <c r="F572" s="144"/>
      <c r="G572" s="144"/>
      <c r="H572" s="269"/>
      <c r="I572" s="29"/>
      <c r="J572" s="31"/>
      <c r="K572" s="29"/>
      <c r="L572" s="29"/>
      <c r="M572" s="29"/>
      <c r="N572" s="144">
        <v>22575.0</v>
      </c>
      <c r="O572" s="144"/>
      <c r="P572" s="144"/>
      <c r="Q572" s="144">
        <v>20575.0</v>
      </c>
      <c r="R572" s="287">
        <v>21995.0</v>
      </c>
      <c r="S572" s="144"/>
      <c r="T572" s="144"/>
      <c r="U572" s="144">
        <f t="shared" ref="U572:U574" si="37">Q572*1.1</f>
        <v>22632.5</v>
      </c>
    </row>
    <row r="573" ht="14.25" customHeight="1">
      <c r="A573" s="243">
        <v>23.0</v>
      </c>
      <c r="B573" s="29">
        <v>7761.0</v>
      </c>
      <c r="C573" s="29">
        <v>6340.0</v>
      </c>
      <c r="D573" s="30" t="s">
        <v>646</v>
      </c>
      <c r="E573" s="62" t="s">
        <v>647</v>
      </c>
      <c r="F573" s="144"/>
      <c r="G573" s="144"/>
      <c r="H573" s="269"/>
      <c r="I573" s="29"/>
      <c r="J573" s="31"/>
      <c r="K573" s="29"/>
      <c r="L573" s="29"/>
      <c r="M573" s="29"/>
      <c r="N573" s="144">
        <v>22575.0</v>
      </c>
      <c r="O573" s="144">
        <v>22575.0</v>
      </c>
      <c r="P573" s="144">
        <v>22575.0</v>
      </c>
      <c r="Q573" s="144">
        <v>22575.0</v>
      </c>
      <c r="R573" s="287">
        <v>21995.0</v>
      </c>
      <c r="S573" s="144"/>
      <c r="T573" s="144"/>
      <c r="U573" s="144">
        <f t="shared" si="37"/>
        <v>24832.5</v>
      </c>
    </row>
    <row r="574" ht="14.25" customHeight="1">
      <c r="A574" s="243">
        <v>24.0</v>
      </c>
      <c r="B574" s="29">
        <v>7807.0</v>
      </c>
      <c r="C574" s="29">
        <v>6368.0</v>
      </c>
      <c r="D574" s="30" t="s">
        <v>648</v>
      </c>
      <c r="E574" s="62" t="s">
        <v>649</v>
      </c>
      <c r="F574" s="144"/>
      <c r="G574" s="144"/>
      <c r="H574" s="31"/>
      <c r="I574" s="29"/>
      <c r="J574" s="31"/>
      <c r="K574" s="29"/>
      <c r="L574" s="29"/>
      <c r="M574" s="29"/>
      <c r="N574" s="144">
        <v>22575.0</v>
      </c>
      <c r="O574" s="144">
        <v>22575.0</v>
      </c>
      <c r="P574" s="144">
        <v>22575.0</v>
      </c>
      <c r="Q574" s="144">
        <v>22575.0</v>
      </c>
      <c r="R574" s="287">
        <v>21995.0</v>
      </c>
      <c r="S574" s="144"/>
      <c r="T574" s="144"/>
      <c r="U574" s="144">
        <f t="shared" si="37"/>
        <v>24832.5</v>
      </c>
    </row>
    <row r="575" ht="14.25" customHeight="1">
      <c r="A575" s="129"/>
      <c r="B575" s="296"/>
      <c r="C575" s="296"/>
      <c r="D575" s="297"/>
      <c r="E575" s="298"/>
      <c r="F575" s="298"/>
      <c r="G575" s="299"/>
      <c r="H575" s="299"/>
      <c r="I575" s="78"/>
      <c r="J575" s="58"/>
      <c r="K575" s="78"/>
      <c r="L575" s="78"/>
      <c r="M575" s="78"/>
      <c r="N575" s="27"/>
      <c r="O575" s="27"/>
      <c r="P575" s="27"/>
      <c r="Q575" s="27"/>
      <c r="R575" s="27"/>
      <c r="S575" s="27"/>
      <c r="T575" s="27"/>
      <c r="U575" s="27"/>
    </row>
    <row r="576" ht="14.25" customHeight="1">
      <c r="A576" s="162"/>
      <c r="B576" s="178"/>
      <c r="C576" s="178"/>
      <c r="D576" s="177"/>
      <c r="E576" s="249"/>
      <c r="F576" s="249"/>
      <c r="G576" s="286"/>
      <c r="H576" s="286"/>
      <c r="I576" s="5"/>
      <c r="J576" s="4"/>
      <c r="K576" s="5"/>
      <c r="L576" s="5"/>
      <c r="M576" s="5"/>
      <c r="N576" s="3"/>
      <c r="O576" s="3"/>
      <c r="P576" s="3"/>
      <c r="Q576" s="3"/>
      <c r="R576" s="3"/>
      <c r="S576" s="3"/>
      <c r="T576" s="3"/>
      <c r="U576" s="3"/>
    </row>
    <row r="577" ht="14.25" customHeight="1">
      <c r="A577" s="162"/>
      <c r="B577" s="178"/>
      <c r="C577" s="178"/>
      <c r="D577" s="177"/>
      <c r="E577" s="249"/>
      <c r="F577" s="249"/>
      <c r="G577" s="286"/>
      <c r="H577" s="286"/>
      <c r="I577" s="5"/>
      <c r="J577" s="4"/>
      <c r="K577" s="5"/>
      <c r="L577" s="5"/>
      <c r="M577" s="5"/>
      <c r="N577" s="3"/>
      <c r="O577" s="3"/>
      <c r="P577" s="3"/>
      <c r="Q577" s="3"/>
      <c r="R577" s="3"/>
      <c r="S577" s="3"/>
      <c r="T577" s="3"/>
      <c r="U577" s="3"/>
    </row>
    <row r="578" ht="14.25" customHeight="1">
      <c r="A578" s="162"/>
      <c r="B578" s="178"/>
      <c r="C578" s="178"/>
      <c r="D578" s="177"/>
      <c r="E578" s="249"/>
      <c r="F578" s="249"/>
      <c r="G578" s="286"/>
      <c r="H578" s="286"/>
      <c r="I578" s="5"/>
      <c r="J578" s="4"/>
      <c r="K578" s="5"/>
      <c r="L578" s="5"/>
      <c r="M578" s="5"/>
      <c r="N578" s="3"/>
      <c r="O578" s="3"/>
      <c r="P578" s="3"/>
      <c r="Q578" s="3"/>
      <c r="R578" s="3"/>
      <c r="S578" s="3"/>
      <c r="T578" s="3"/>
      <c r="U578" s="3"/>
    </row>
    <row r="579" ht="14.25" customHeight="1">
      <c r="A579" s="162"/>
      <c r="B579" s="178"/>
      <c r="C579" s="178"/>
      <c r="D579" s="177"/>
      <c r="E579" s="249"/>
      <c r="F579" s="249"/>
      <c r="G579" s="286"/>
      <c r="H579" s="286"/>
      <c r="I579" s="5"/>
      <c r="J579" s="4"/>
      <c r="K579" s="5"/>
      <c r="L579" s="5"/>
      <c r="M579" s="5"/>
      <c r="N579" s="3"/>
      <c r="O579" s="3"/>
      <c r="P579" s="3"/>
      <c r="Q579" s="3"/>
      <c r="R579" s="3"/>
      <c r="S579" s="3"/>
      <c r="T579" s="3"/>
      <c r="U579" s="3"/>
    </row>
    <row r="580" ht="14.25" customHeight="1">
      <c r="A580" s="162"/>
      <c r="B580" s="178"/>
      <c r="C580" s="178"/>
      <c r="D580" s="177"/>
      <c r="E580" s="249"/>
      <c r="F580" s="249"/>
      <c r="G580" s="286"/>
      <c r="H580" s="286"/>
      <c r="I580" s="5"/>
      <c r="J580" s="4"/>
      <c r="K580" s="5"/>
      <c r="L580" s="5"/>
      <c r="M580" s="5"/>
      <c r="N580" s="3"/>
      <c r="O580" s="3"/>
      <c r="P580" s="3"/>
      <c r="Q580" s="3"/>
      <c r="R580" s="3"/>
      <c r="S580" s="3"/>
      <c r="T580" s="3"/>
      <c r="U580" s="3"/>
    </row>
    <row r="581" ht="14.25" customHeight="1">
      <c r="A581" s="162"/>
      <c r="B581" s="178"/>
      <c r="C581" s="178"/>
      <c r="D581" s="177"/>
      <c r="E581" s="249"/>
      <c r="F581" s="249"/>
      <c r="G581" s="286"/>
      <c r="H581" s="286"/>
      <c r="I581" s="5"/>
      <c r="J581" s="4"/>
      <c r="K581" s="5"/>
      <c r="L581" s="5"/>
      <c r="M581" s="5"/>
      <c r="N581" s="3"/>
      <c r="O581" s="3"/>
      <c r="P581" s="3"/>
      <c r="Q581" s="3"/>
      <c r="R581" s="3"/>
      <c r="S581" s="3"/>
      <c r="T581" s="3"/>
      <c r="U581" s="3"/>
    </row>
    <row r="582" ht="14.25" customHeight="1">
      <c r="A582" s="162"/>
      <c r="B582" s="178"/>
      <c r="C582" s="178"/>
      <c r="D582" s="177"/>
      <c r="E582" s="249"/>
      <c r="F582" s="249"/>
      <c r="G582" s="286"/>
      <c r="H582" s="286"/>
      <c r="I582" s="5"/>
      <c r="J582" s="4"/>
      <c r="K582" s="5"/>
      <c r="L582" s="5"/>
      <c r="M582" s="5"/>
      <c r="N582" s="3"/>
      <c r="O582" s="3"/>
      <c r="P582" s="3"/>
      <c r="Q582" s="3"/>
      <c r="R582" s="3"/>
      <c r="S582" s="3"/>
      <c r="T582" s="3"/>
      <c r="U582" s="3"/>
    </row>
    <row r="583" ht="14.25" customHeight="1">
      <c r="A583" s="162"/>
      <c r="B583" s="178"/>
      <c r="C583" s="178"/>
      <c r="D583" s="177"/>
      <c r="E583" s="249"/>
      <c r="F583" s="249"/>
      <c r="G583" s="286"/>
      <c r="H583" s="286"/>
      <c r="I583" s="5"/>
      <c r="J583" s="4"/>
      <c r="K583" s="5"/>
      <c r="L583" s="5"/>
      <c r="M583" s="5"/>
      <c r="N583" s="3"/>
      <c r="O583" s="3"/>
      <c r="P583" s="3"/>
      <c r="Q583" s="3"/>
      <c r="R583" s="3"/>
      <c r="S583" s="3"/>
      <c r="T583" s="3"/>
      <c r="U583" s="3"/>
    </row>
    <row r="584" ht="14.25" customHeight="1">
      <c r="A584" s="162"/>
      <c r="B584" s="178"/>
      <c r="C584" s="178"/>
      <c r="D584" s="177"/>
      <c r="E584" s="249"/>
      <c r="F584" s="249"/>
      <c r="G584" s="286"/>
      <c r="H584" s="286"/>
      <c r="I584" s="5"/>
      <c r="J584" s="4"/>
      <c r="K584" s="5"/>
      <c r="L584" s="5"/>
      <c r="M584" s="5"/>
      <c r="N584" s="3"/>
      <c r="O584" s="3"/>
      <c r="P584" s="3"/>
      <c r="Q584" s="3"/>
      <c r="R584" s="3"/>
      <c r="S584" s="3"/>
      <c r="T584" s="3"/>
      <c r="U584" s="3"/>
    </row>
    <row r="585" ht="14.25" customHeight="1">
      <c r="A585" s="162"/>
      <c r="B585" s="178"/>
      <c r="C585" s="178"/>
      <c r="D585" s="177"/>
      <c r="E585" s="249"/>
      <c r="F585" s="249"/>
      <c r="G585" s="286"/>
      <c r="H585" s="286"/>
      <c r="I585" s="5"/>
      <c r="J585" s="4"/>
      <c r="K585" s="5"/>
      <c r="L585" s="5"/>
      <c r="M585" s="5"/>
      <c r="N585" s="3"/>
      <c r="O585" s="3"/>
      <c r="P585" s="3"/>
      <c r="Q585" s="3"/>
      <c r="R585" s="3"/>
      <c r="S585" s="3"/>
      <c r="T585" s="3"/>
      <c r="U585" s="3"/>
    </row>
    <row r="586" ht="14.25" customHeight="1">
      <c r="A586" s="162"/>
      <c r="B586" s="178"/>
      <c r="C586" s="178"/>
      <c r="D586" s="177"/>
      <c r="E586" s="249"/>
      <c r="F586" s="249"/>
      <c r="G586" s="286"/>
      <c r="H586" s="286"/>
      <c r="I586" s="5"/>
      <c r="J586" s="4"/>
      <c r="K586" s="5"/>
      <c r="L586" s="5"/>
      <c r="M586" s="5"/>
      <c r="N586" s="3"/>
      <c r="O586" s="3"/>
      <c r="P586" s="3"/>
      <c r="Q586" s="3"/>
      <c r="R586" s="3"/>
      <c r="S586" s="3"/>
      <c r="T586" s="3"/>
      <c r="U586" s="3"/>
    </row>
    <row r="587" ht="14.25" customHeight="1">
      <c r="A587" s="162"/>
      <c r="B587" s="178"/>
      <c r="C587" s="178"/>
      <c r="D587" s="177"/>
      <c r="E587" s="249"/>
      <c r="F587" s="249"/>
      <c r="G587" s="286"/>
      <c r="H587" s="286"/>
      <c r="I587" s="5"/>
      <c r="J587" s="4"/>
      <c r="K587" s="5"/>
      <c r="L587" s="5"/>
      <c r="M587" s="5"/>
      <c r="N587" s="3"/>
      <c r="O587" s="3"/>
      <c r="P587" s="3"/>
      <c r="Q587" s="3"/>
      <c r="R587" s="3"/>
      <c r="S587" s="3"/>
      <c r="T587" s="3"/>
      <c r="U587" s="3"/>
    </row>
    <row r="588" ht="14.25" customHeight="1">
      <c r="A588" s="162"/>
      <c r="B588" s="178"/>
      <c r="C588" s="178"/>
      <c r="D588" s="177"/>
      <c r="E588" s="249"/>
      <c r="F588" s="249"/>
      <c r="G588" s="286"/>
      <c r="H588" s="286"/>
      <c r="I588" s="5"/>
      <c r="J588" s="4"/>
      <c r="K588" s="5"/>
      <c r="L588" s="5"/>
      <c r="M588" s="5"/>
      <c r="N588" s="3"/>
      <c r="O588" s="3"/>
      <c r="P588" s="3"/>
      <c r="Q588" s="3"/>
      <c r="R588" s="3"/>
      <c r="S588" s="3"/>
      <c r="T588" s="3"/>
      <c r="U588" s="3"/>
    </row>
    <row r="589" ht="14.25" customHeight="1">
      <c r="A589" s="162"/>
      <c r="B589" s="178"/>
      <c r="C589" s="178"/>
      <c r="D589" s="177"/>
      <c r="E589" s="249"/>
      <c r="F589" s="249"/>
      <c r="G589" s="286"/>
      <c r="H589" s="286"/>
      <c r="I589" s="5"/>
      <c r="J589" s="4"/>
      <c r="K589" s="5"/>
      <c r="L589" s="5"/>
      <c r="M589" s="5"/>
      <c r="N589" s="3"/>
      <c r="O589" s="3"/>
      <c r="P589" s="3"/>
      <c r="Q589" s="3"/>
      <c r="R589" s="3"/>
      <c r="S589" s="3"/>
      <c r="T589" s="3"/>
      <c r="U589" s="3"/>
    </row>
    <row r="590" ht="14.25" customHeight="1">
      <c r="A590" s="162"/>
      <c r="B590" s="178"/>
      <c r="C590" s="178"/>
      <c r="D590" s="177"/>
      <c r="E590" s="249"/>
      <c r="F590" s="249"/>
      <c r="G590" s="286"/>
      <c r="H590" s="286"/>
      <c r="I590" s="5"/>
      <c r="J590" s="4"/>
      <c r="K590" s="5"/>
      <c r="L590" s="5"/>
      <c r="M590" s="5"/>
      <c r="N590" s="3"/>
      <c r="O590" s="3"/>
      <c r="P590" s="3"/>
      <c r="Q590" s="3"/>
      <c r="R590" s="3"/>
      <c r="S590" s="3"/>
      <c r="T590" s="3"/>
      <c r="U590" s="3"/>
    </row>
    <row r="591" ht="14.25" customHeight="1">
      <c r="A591" s="162"/>
      <c r="B591" s="178"/>
      <c r="C591" s="178"/>
      <c r="D591" s="177"/>
      <c r="E591" s="249"/>
      <c r="F591" s="249"/>
      <c r="G591" s="286"/>
      <c r="H591" s="286"/>
      <c r="I591" s="5"/>
      <c r="J591" s="4"/>
      <c r="K591" s="5"/>
      <c r="L591" s="5"/>
      <c r="M591" s="5"/>
      <c r="N591" s="3"/>
      <c r="O591" s="3"/>
      <c r="P591" s="3"/>
      <c r="Q591" s="3"/>
      <c r="R591" s="3"/>
      <c r="S591" s="3"/>
      <c r="T591" s="3"/>
      <c r="U591" s="3"/>
    </row>
    <row r="592" ht="14.25" customHeight="1">
      <c r="A592" s="162"/>
      <c r="B592" s="178"/>
      <c r="C592" s="178"/>
      <c r="D592" s="177"/>
      <c r="E592" s="249"/>
      <c r="F592" s="249"/>
      <c r="G592" s="286"/>
      <c r="H592" s="286"/>
      <c r="I592" s="5"/>
      <c r="J592" s="4"/>
      <c r="K592" s="5"/>
      <c r="L592" s="5"/>
      <c r="M592" s="5"/>
      <c r="N592" s="3"/>
      <c r="O592" s="3"/>
      <c r="P592" s="3"/>
      <c r="Q592" s="3"/>
      <c r="R592" s="3"/>
      <c r="S592" s="3"/>
      <c r="T592" s="3"/>
      <c r="U592" s="3"/>
    </row>
    <row r="593" ht="14.25" customHeight="1">
      <c r="A593" s="162"/>
      <c r="B593" s="178"/>
      <c r="C593" s="178"/>
      <c r="D593" s="177"/>
      <c r="E593" s="249"/>
      <c r="F593" s="249"/>
      <c r="G593" s="286"/>
      <c r="H593" s="286"/>
      <c r="I593" s="5"/>
      <c r="J593" s="4"/>
      <c r="K593" s="5"/>
      <c r="L593" s="5"/>
      <c r="M593" s="5"/>
      <c r="N593" s="3"/>
      <c r="O593" s="3"/>
      <c r="P593" s="3"/>
      <c r="Q593" s="3"/>
      <c r="R593" s="3"/>
      <c r="S593" s="3"/>
      <c r="T593" s="3"/>
      <c r="U593" s="3"/>
    </row>
    <row r="594" ht="14.25" customHeight="1">
      <c r="A594" s="162"/>
      <c r="B594" s="178"/>
      <c r="C594" s="178"/>
      <c r="D594" s="177"/>
      <c r="E594" s="249"/>
      <c r="F594" s="249"/>
      <c r="G594" s="286"/>
      <c r="H594" s="286"/>
      <c r="I594" s="5"/>
      <c r="J594" s="4"/>
      <c r="K594" s="5"/>
      <c r="L594" s="5"/>
      <c r="M594" s="5"/>
      <c r="N594" s="3"/>
      <c r="O594" s="3"/>
      <c r="P594" s="3"/>
      <c r="Q594" s="3"/>
      <c r="R594" s="3"/>
      <c r="S594" s="3"/>
      <c r="T594" s="3"/>
      <c r="U594" s="3"/>
    </row>
    <row r="595" ht="14.25" customHeight="1">
      <c r="A595" s="162"/>
      <c r="B595" s="178"/>
      <c r="C595" s="178"/>
      <c r="D595" s="177"/>
      <c r="E595" s="249"/>
      <c r="F595" s="249"/>
      <c r="G595" s="286"/>
      <c r="H595" s="286"/>
      <c r="I595" s="5"/>
      <c r="J595" s="4"/>
      <c r="K595" s="5"/>
      <c r="L595" s="5"/>
      <c r="M595" s="5"/>
      <c r="N595" s="3"/>
      <c r="O595" s="3"/>
      <c r="P595" s="3"/>
      <c r="Q595" s="3"/>
      <c r="R595" s="3"/>
      <c r="S595" s="3"/>
      <c r="T595" s="3"/>
      <c r="U595" s="3"/>
    </row>
    <row r="596" ht="14.25" customHeight="1">
      <c r="A596" s="162"/>
      <c r="B596" s="178"/>
      <c r="C596" s="178"/>
      <c r="D596" s="177"/>
      <c r="E596" s="249"/>
      <c r="F596" s="249"/>
      <c r="G596" s="286"/>
      <c r="H596" s="286"/>
      <c r="I596" s="5"/>
      <c r="J596" s="4"/>
      <c r="K596" s="5"/>
      <c r="L596" s="5"/>
      <c r="M596" s="5"/>
      <c r="N596" s="3"/>
      <c r="O596" s="3"/>
      <c r="P596" s="3"/>
      <c r="Q596" s="3"/>
      <c r="R596" s="3"/>
      <c r="S596" s="3"/>
      <c r="T596" s="3"/>
      <c r="U596" s="3"/>
    </row>
    <row r="597" ht="14.25" customHeight="1">
      <c r="A597" s="162"/>
      <c r="B597" s="178"/>
      <c r="C597" s="178"/>
      <c r="D597" s="177"/>
      <c r="E597" s="249"/>
      <c r="F597" s="249"/>
      <c r="G597" s="286"/>
      <c r="H597" s="286"/>
      <c r="I597" s="5"/>
      <c r="J597" s="4"/>
      <c r="K597" s="5"/>
      <c r="L597" s="5"/>
      <c r="M597" s="5"/>
      <c r="N597" s="3"/>
      <c r="O597" s="3"/>
      <c r="P597" s="3"/>
      <c r="Q597" s="3"/>
      <c r="R597" s="3"/>
      <c r="S597" s="3"/>
      <c r="T597" s="3"/>
      <c r="U597" s="3"/>
    </row>
    <row r="598" ht="14.25" customHeight="1">
      <c r="A598" s="162"/>
      <c r="B598" s="178"/>
      <c r="C598" s="178"/>
      <c r="D598" s="177"/>
      <c r="E598" s="249"/>
      <c r="F598" s="249"/>
      <c r="G598" s="286"/>
      <c r="H598" s="286"/>
      <c r="I598" s="5"/>
      <c r="J598" s="4"/>
      <c r="K598" s="5"/>
      <c r="L598" s="5"/>
      <c r="M598" s="5"/>
      <c r="N598" s="3"/>
      <c r="O598" s="3"/>
      <c r="P598" s="3"/>
      <c r="Q598" s="3"/>
      <c r="R598" s="3"/>
      <c r="S598" s="3"/>
      <c r="T598" s="3"/>
      <c r="U598" s="3"/>
    </row>
    <row r="599" ht="14.25" customHeight="1">
      <c r="A599" s="162"/>
      <c r="B599" s="178"/>
      <c r="C599" s="178"/>
      <c r="D599" s="177"/>
      <c r="E599" s="249"/>
      <c r="F599" s="249"/>
      <c r="G599" s="286"/>
      <c r="H599" s="286"/>
      <c r="I599" s="5"/>
      <c r="J599" s="4"/>
      <c r="K599" s="5"/>
      <c r="L599" s="5"/>
      <c r="M599" s="5"/>
      <c r="N599" s="3"/>
      <c r="O599" s="3"/>
      <c r="P599" s="3"/>
      <c r="Q599" s="3"/>
      <c r="R599" s="3"/>
      <c r="S599" s="3"/>
      <c r="T599" s="3"/>
      <c r="U599" s="3"/>
    </row>
    <row r="600" ht="14.25" customHeight="1">
      <c r="A600" s="162"/>
      <c r="B600" s="178"/>
      <c r="C600" s="178"/>
      <c r="D600" s="177"/>
      <c r="E600" s="249"/>
      <c r="F600" s="249"/>
      <c r="G600" s="286"/>
      <c r="H600" s="286"/>
      <c r="I600" s="5"/>
      <c r="J600" s="4"/>
      <c r="K600" s="5"/>
      <c r="L600" s="5"/>
      <c r="M600" s="5"/>
      <c r="N600" s="3"/>
      <c r="O600" s="3"/>
      <c r="P600" s="3"/>
      <c r="Q600" s="3"/>
      <c r="R600" s="3"/>
      <c r="S600" s="3"/>
      <c r="T600" s="3"/>
      <c r="U600" s="3"/>
    </row>
    <row r="601" ht="14.25" customHeight="1">
      <c r="A601" s="162"/>
      <c r="B601" s="178"/>
      <c r="C601" s="178"/>
      <c r="D601" s="177"/>
      <c r="E601" s="249"/>
      <c r="F601" s="249"/>
      <c r="G601" s="286"/>
      <c r="H601" s="286"/>
      <c r="I601" s="5"/>
      <c r="J601" s="4"/>
      <c r="K601" s="5"/>
      <c r="L601" s="5"/>
      <c r="M601" s="5"/>
      <c r="N601" s="3"/>
      <c r="O601" s="3"/>
      <c r="P601" s="3"/>
      <c r="Q601" s="3"/>
      <c r="R601" s="3"/>
      <c r="S601" s="3"/>
      <c r="T601" s="3"/>
      <c r="U601" s="3"/>
    </row>
    <row r="602" ht="14.25" customHeight="1">
      <c r="A602" s="3" t="s">
        <v>3</v>
      </c>
      <c r="B602" s="3"/>
      <c r="C602" s="3"/>
      <c r="D602" s="3"/>
      <c r="E602" s="249"/>
      <c r="F602" s="249"/>
      <c r="G602" s="286"/>
      <c r="H602" s="286"/>
      <c r="I602" s="5"/>
      <c r="J602" s="4"/>
      <c r="K602" s="5"/>
      <c r="L602" s="5"/>
      <c r="M602" s="5"/>
      <c r="N602" s="3"/>
      <c r="O602" s="3"/>
      <c r="P602" s="3"/>
      <c r="Q602" s="3"/>
      <c r="R602" s="3"/>
      <c r="S602" s="3"/>
    </row>
    <row r="603" ht="14.25" customHeight="1">
      <c r="A603" s="3" t="s">
        <v>4</v>
      </c>
      <c r="B603" s="3"/>
      <c r="C603" s="3"/>
      <c r="D603" s="3"/>
      <c r="E603" s="249"/>
      <c r="F603" s="249"/>
      <c r="G603" s="286"/>
      <c r="H603" s="286"/>
      <c r="I603" s="5"/>
      <c r="J603" s="4"/>
      <c r="K603" s="5"/>
      <c r="L603" s="5"/>
      <c r="M603" s="5"/>
      <c r="N603" s="3"/>
      <c r="O603" s="3"/>
      <c r="P603" s="3"/>
      <c r="Q603" s="3"/>
      <c r="R603" s="3"/>
      <c r="S603" s="3"/>
    </row>
    <row r="604" ht="14.25" customHeight="1">
      <c r="A604" s="248"/>
      <c r="B604" s="248"/>
      <c r="C604" s="248"/>
      <c r="D604" s="177"/>
      <c r="E604" s="249"/>
      <c r="F604" s="249"/>
      <c r="G604" s="286"/>
      <c r="H604" s="286"/>
      <c r="I604" s="5"/>
      <c r="J604" s="4"/>
      <c r="K604" s="5"/>
      <c r="L604" s="5"/>
      <c r="M604" s="5"/>
      <c r="N604" s="3"/>
      <c r="O604" s="3"/>
      <c r="P604" s="3"/>
      <c r="Q604" s="3"/>
      <c r="R604" s="3"/>
      <c r="S604" s="3"/>
    </row>
    <row r="605" ht="14.25" customHeight="1">
      <c r="A605" s="2" t="s">
        <v>2</v>
      </c>
    </row>
    <row r="606" ht="14.25" customHeight="1">
      <c r="A606" s="8" t="s">
        <v>650</v>
      </c>
    </row>
    <row r="607" ht="14.25" customHeight="1">
      <c r="A607" s="12" t="s">
        <v>7</v>
      </c>
    </row>
    <row r="608" ht="14.25" customHeight="1">
      <c r="A608" s="88" t="s">
        <v>8</v>
      </c>
      <c r="B608" s="88" t="s">
        <v>9</v>
      </c>
      <c r="C608" s="89" t="s">
        <v>10</v>
      </c>
      <c r="D608" s="90" t="s">
        <v>11</v>
      </c>
      <c r="E608" s="253" t="s">
        <v>12</v>
      </c>
      <c r="F608" s="254" t="s">
        <v>13</v>
      </c>
      <c r="G608" s="255"/>
      <c r="H608" s="255"/>
      <c r="I608" s="256"/>
      <c r="J608" s="257" t="s">
        <v>15</v>
      </c>
      <c r="K608" s="255"/>
      <c r="L608" s="255"/>
      <c r="M608" s="258"/>
      <c r="N608" s="300" t="s">
        <v>17</v>
      </c>
      <c r="O608" s="255"/>
      <c r="P608" s="255"/>
      <c r="Q608" s="301"/>
      <c r="R608" s="52" t="s">
        <v>18</v>
      </c>
      <c r="S608" s="16"/>
      <c r="T608" s="16"/>
      <c r="U608" s="17"/>
    </row>
    <row r="609" ht="14.25" customHeight="1">
      <c r="A609" s="27"/>
      <c r="B609" s="27"/>
      <c r="C609" s="27"/>
      <c r="D609" s="302"/>
      <c r="E609" s="22"/>
      <c r="F609" s="25" t="s">
        <v>20</v>
      </c>
      <c r="G609" s="25" t="s">
        <v>21</v>
      </c>
      <c r="H609" s="25" t="s">
        <v>22</v>
      </c>
      <c r="I609" s="25" t="s">
        <v>23</v>
      </c>
      <c r="J609" s="25" t="s">
        <v>20</v>
      </c>
      <c r="K609" s="25" t="s">
        <v>21</v>
      </c>
      <c r="L609" s="25" t="s">
        <v>22</v>
      </c>
      <c r="M609" s="25" t="s">
        <v>23</v>
      </c>
      <c r="N609" s="25" t="s">
        <v>20</v>
      </c>
      <c r="O609" s="25" t="s">
        <v>21</v>
      </c>
      <c r="P609" s="25" t="s">
        <v>22</v>
      </c>
      <c r="Q609" s="25" t="s">
        <v>23</v>
      </c>
      <c r="R609" s="25" t="s">
        <v>20</v>
      </c>
      <c r="S609" s="25" t="s">
        <v>21</v>
      </c>
      <c r="T609" s="25" t="s">
        <v>22</v>
      </c>
      <c r="U609" s="25" t="s">
        <v>23</v>
      </c>
    </row>
    <row r="610" ht="14.25" customHeight="1">
      <c r="A610" s="37">
        <v>1.0</v>
      </c>
      <c r="B610" s="225">
        <v>3974.0</v>
      </c>
      <c r="C610" s="225">
        <v>3422.0</v>
      </c>
      <c r="D610" s="222" t="s">
        <v>651</v>
      </c>
      <c r="E610" s="223" t="s">
        <v>652</v>
      </c>
      <c r="F610" s="144">
        <v>1358.0</v>
      </c>
      <c r="G610" s="144">
        <v>1358.0</v>
      </c>
      <c r="H610" s="37"/>
      <c r="I610" s="37">
        <v>13575.0</v>
      </c>
      <c r="J610" s="37"/>
      <c r="K610" s="37"/>
      <c r="L610" s="37"/>
      <c r="M610" s="37">
        <v>16275.0</v>
      </c>
      <c r="N610" s="130"/>
      <c r="O610" s="37"/>
      <c r="P610" s="37"/>
      <c r="Q610" s="37">
        <v>18975.0</v>
      </c>
      <c r="R610" s="131">
        <v>22995.0</v>
      </c>
      <c r="S610" s="37"/>
      <c r="T610" s="37"/>
      <c r="U610" s="37">
        <f t="shared" ref="U610:U627" si="38">Q610*1.1</f>
        <v>20872.5</v>
      </c>
    </row>
    <row r="611" ht="14.25" customHeight="1">
      <c r="A611" s="37">
        <v>2.0</v>
      </c>
      <c r="B611" s="225">
        <v>3992.0</v>
      </c>
      <c r="C611" s="225">
        <v>3438.0</v>
      </c>
      <c r="D611" s="222" t="s">
        <v>653</v>
      </c>
      <c r="E611" s="223" t="s">
        <v>654</v>
      </c>
      <c r="F611" s="144">
        <v>1358.0</v>
      </c>
      <c r="G611" s="144">
        <v>1358.0</v>
      </c>
      <c r="H611" s="37"/>
      <c r="I611" s="37">
        <v>13575.0</v>
      </c>
      <c r="J611" s="37"/>
      <c r="K611" s="37"/>
      <c r="L611" s="37"/>
      <c r="M611" s="37">
        <v>16575.0</v>
      </c>
      <c r="N611" s="130"/>
      <c r="O611" s="37"/>
      <c r="P611" s="37"/>
      <c r="Q611" s="37">
        <v>18975.0</v>
      </c>
      <c r="R611" s="131">
        <v>22995.0</v>
      </c>
      <c r="S611" s="37"/>
      <c r="T611" s="37"/>
      <c r="U611" s="37">
        <f t="shared" si="38"/>
        <v>20872.5</v>
      </c>
    </row>
    <row r="612" ht="14.25" customHeight="1">
      <c r="A612" s="37">
        <v>3.0</v>
      </c>
      <c r="B612" s="225">
        <v>4080.0</v>
      </c>
      <c r="C612" s="225">
        <v>3527.0</v>
      </c>
      <c r="D612" s="222" t="s">
        <v>655</v>
      </c>
      <c r="E612" s="223" t="s">
        <v>656</v>
      </c>
      <c r="F612" s="144">
        <v>1358.0</v>
      </c>
      <c r="G612" s="144">
        <v>1358.0</v>
      </c>
      <c r="H612" s="37"/>
      <c r="I612" s="37">
        <v>13575.0</v>
      </c>
      <c r="J612" s="37"/>
      <c r="K612" s="37"/>
      <c r="L612" s="37"/>
      <c r="M612" s="37">
        <v>16575.0</v>
      </c>
      <c r="N612" s="130"/>
      <c r="O612" s="37"/>
      <c r="P612" s="37"/>
      <c r="Q612" s="37">
        <v>18975.0</v>
      </c>
      <c r="R612" s="131">
        <v>22995.0</v>
      </c>
      <c r="S612" s="37"/>
      <c r="T612" s="37"/>
      <c r="U612" s="37">
        <f t="shared" si="38"/>
        <v>20872.5</v>
      </c>
    </row>
    <row r="613" ht="14.25" customHeight="1">
      <c r="A613" s="37">
        <v>4.0</v>
      </c>
      <c r="B613" s="225">
        <v>4012.0</v>
      </c>
      <c r="C613" s="225">
        <v>3457.0</v>
      </c>
      <c r="D613" s="222" t="s">
        <v>657</v>
      </c>
      <c r="E613" s="223" t="s">
        <v>658</v>
      </c>
      <c r="F613" s="144">
        <v>1358.0</v>
      </c>
      <c r="G613" s="144">
        <v>1358.0</v>
      </c>
      <c r="H613" s="37"/>
      <c r="I613" s="37">
        <v>13575.0</v>
      </c>
      <c r="J613" s="37"/>
      <c r="K613" s="37"/>
      <c r="L613" s="37"/>
      <c r="M613" s="37">
        <v>16575.0</v>
      </c>
      <c r="N613" s="130"/>
      <c r="O613" s="37"/>
      <c r="P613" s="37"/>
      <c r="Q613" s="37">
        <v>18975.0</v>
      </c>
      <c r="R613" s="131">
        <v>22995.0</v>
      </c>
      <c r="S613" s="37"/>
      <c r="T613" s="37"/>
      <c r="U613" s="37">
        <f t="shared" si="38"/>
        <v>20872.5</v>
      </c>
    </row>
    <row r="614" ht="14.25" customHeight="1">
      <c r="A614" s="37">
        <v>5.0</v>
      </c>
      <c r="B614" s="225">
        <v>7248.0</v>
      </c>
      <c r="C614" s="225">
        <v>5976.0</v>
      </c>
      <c r="D614" s="222" t="s">
        <v>659</v>
      </c>
      <c r="E614" s="223" t="s">
        <v>660</v>
      </c>
      <c r="F614" s="144"/>
      <c r="G614" s="144"/>
      <c r="H614" s="37"/>
      <c r="I614" s="37"/>
      <c r="J614" s="37">
        <v>19550.0</v>
      </c>
      <c r="K614" s="37">
        <v>19550.0</v>
      </c>
      <c r="L614" s="37">
        <v>19550.0</v>
      </c>
      <c r="M614" s="37">
        <v>19550.0</v>
      </c>
      <c r="N614" s="130"/>
      <c r="O614" s="37"/>
      <c r="P614" s="37"/>
      <c r="Q614" s="37">
        <v>21975.0</v>
      </c>
      <c r="R614" s="131">
        <v>22995.0</v>
      </c>
      <c r="S614" s="37"/>
      <c r="T614" s="37"/>
      <c r="U614" s="37">
        <f t="shared" si="38"/>
        <v>24172.5</v>
      </c>
    </row>
    <row r="615" ht="14.25" customHeight="1">
      <c r="A615" s="37">
        <v>6.0</v>
      </c>
      <c r="B615" s="225">
        <v>5227.0</v>
      </c>
      <c r="C615" s="225">
        <v>4493.0</v>
      </c>
      <c r="D615" s="222" t="s">
        <v>661</v>
      </c>
      <c r="E615" s="223" t="s">
        <v>662</v>
      </c>
      <c r="F615" s="259">
        <v>1358.0</v>
      </c>
      <c r="G615" s="144">
        <v>1358.0</v>
      </c>
      <c r="H615" s="37"/>
      <c r="I615" s="37">
        <v>13575.0</v>
      </c>
      <c r="J615" s="37"/>
      <c r="K615" s="37"/>
      <c r="L615" s="37"/>
      <c r="M615" s="37">
        <v>16575.0</v>
      </c>
      <c r="N615" s="130"/>
      <c r="O615" s="37"/>
      <c r="P615" s="37"/>
      <c r="Q615" s="37">
        <v>18975.0</v>
      </c>
      <c r="R615" s="131">
        <v>22995.0</v>
      </c>
      <c r="S615" s="37"/>
      <c r="T615" s="37"/>
      <c r="U615" s="37">
        <f t="shared" si="38"/>
        <v>20872.5</v>
      </c>
    </row>
    <row r="616" ht="14.25" customHeight="1">
      <c r="A616" s="37">
        <v>7.0</v>
      </c>
      <c r="B616" s="225">
        <v>5493.0</v>
      </c>
      <c r="C616" s="225">
        <v>4705.0</v>
      </c>
      <c r="D616" s="222" t="s">
        <v>663</v>
      </c>
      <c r="E616" s="223" t="s">
        <v>664</v>
      </c>
      <c r="F616" s="259">
        <v>1358.0</v>
      </c>
      <c r="G616" s="144">
        <v>1358.0</v>
      </c>
      <c r="H616" s="37"/>
      <c r="I616" s="37">
        <v>13575.0</v>
      </c>
      <c r="J616" s="37"/>
      <c r="K616" s="37"/>
      <c r="L616" s="37"/>
      <c r="M616" s="37">
        <v>16575.0</v>
      </c>
      <c r="N616" s="130"/>
      <c r="O616" s="37"/>
      <c r="P616" s="37"/>
      <c r="Q616" s="37">
        <v>18975.0</v>
      </c>
      <c r="R616" s="131">
        <v>22995.0</v>
      </c>
      <c r="S616" s="37"/>
      <c r="T616" s="37"/>
      <c r="U616" s="37">
        <f t="shared" si="38"/>
        <v>20872.5</v>
      </c>
    </row>
    <row r="617" ht="14.25" customHeight="1">
      <c r="A617" s="37">
        <v>8.0</v>
      </c>
      <c r="B617" s="225">
        <v>5924.0</v>
      </c>
      <c r="C617" s="225">
        <v>5003.0</v>
      </c>
      <c r="D617" s="222" t="s">
        <v>665</v>
      </c>
      <c r="E617" s="223" t="s">
        <v>666</v>
      </c>
      <c r="F617" s="259">
        <v>1358.0</v>
      </c>
      <c r="G617" s="144">
        <v>1358.0</v>
      </c>
      <c r="H617" s="37"/>
      <c r="I617" s="37">
        <v>13575.0</v>
      </c>
      <c r="J617" s="37"/>
      <c r="K617" s="37"/>
      <c r="L617" s="37"/>
      <c r="M617" s="37">
        <v>16575.0</v>
      </c>
      <c r="N617" s="130"/>
      <c r="O617" s="37"/>
      <c r="P617" s="37"/>
      <c r="Q617" s="37">
        <v>18975.0</v>
      </c>
      <c r="R617" s="131">
        <v>22995.0</v>
      </c>
      <c r="S617" s="37"/>
      <c r="T617" s="37"/>
      <c r="U617" s="37">
        <f t="shared" si="38"/>
        <v>20872.5</v>
      </c>
    </row>
    <row r="618" ht="14.25" customHeight="1">
      <c r="A618" s="37">
        <v>9.0</v>
      </c>
      <c r="B618" s="225">
        <v>6787.0</v>
      </c>
      <c r="C618" s="225">
        <v>5635.0</v>
      </c>
      <c r="D618" s="222" t="s">
        <v>667</v>
      </c>
      <c r="E618" s="223" t="s">
        <v>668</v>
      </c>
      <c r="F618" s="259">
        <v>13575.0</v>
      </c>
      <c r="G618" s="144">
        <v>13575.0</v>
      </c>
      <c r="H618" s="37">
        <v>13575.0</v>
      </c>
      <c r="I618" s="37">
        <v>13575.0</v>
      </c>
      <c r="J618" s="37"/>
      <c r="K618" s="37"/>
      <c r="L618" s="37"/>
      <c r="M618" s="37">
        <v>15575.0</v>
      </c>
      <c r="N618" s="130"/>
      <c r="O618" s="37"/>
      <c r="P618" s="37"/>
      <c r="Q618" s="37">
        <v>18975.0</v>
      </c>
      <c r="R618" s="131">
        <v>22995.0</v>
      </c>
      <c r="S618" s="37"/>
      <c r="T618" s="37"/>
      <c r="U618" s="37">
        <f t="shared" si="38"/>
        <v>20872.5</v>
      </c>
    </row>
    <row r="619" ht="14.25" customHeight="1">
      <c r="A619" s="37">
        <v>10.0</v>
      </c>
      <c r="B619" s="225">
        <v>7220.0</v>
      </c>
      <c r="C619" s="225">
        <v>5952.0</v>
      </c>
      <c r="D619" s="222" t="s">
        <v>669</v>
      </c>
      <c r="E619" s="223" t="s">
        <v>670</v>
      </c>
      <c r="F619" s="259">
        <v>18550.0</v>
      </c>
      <c r="G619" s="144">
        <v>18550.0</v>
      </c>
      <c r="H619" s="37">
        <v>18550.0</v>
      </c>
      <c r="I619" s="37">
        <v>18550.0</v>
      </c>
      <c r="J619" s="37"/>
      <c r="K619" s="37"/>
      <c r="L619" s="37"/>
      <c r="M619" s="37">
        <v>18575.0</v>
      </c>
      <c r="N619" s="130"/>
      <c r="O619" s="37"/>
      <c r="P619" s="37"/>
      <c r="Q619" s="37">
        <v>20975.0</v>
      </c>
      <c r="R619" s="131">
        <v>22995.0</v>
      </c>
      <c r="S619" s="37"/>
      <c r="T619" s="37"/>
      <c r="U619" s="37">
        <f t="shared" si="38"/>
        <v>23072.5</v>
      </c>
    </row>
    <row r="620" ht="21.0" customHeight="1">
      <c r="A620" s="37">
        <v>11.0</v>
      </c>
      <c r="B620" s="225">
        <v>7254.0</v>
      </c>
      <c r="C620" s="225">
        <v>5980.0</v>
      </c>
      <c r="D620" s="222" t="s">
        <v>671</v>
      </c>
      <c r="E620" s="223" t="s">
        <v>672</v>
      </c>
      <c r="F620" s="259"/>
      <c r="G620" s="144"/>
      <c r="H620" s="37"/>
      <c r="I620" s="37"/>
      <c r="J620" s="37">
        <v>20575.0</v>
      </c>
      <c r="K620" s="37"/>
      <c r="L620" s="37"/>
      <c r="M620" s="37">
        <v>16575.0</v>
      </c>
      <c r="N620" s="130"/>
      <c r="O620" s="37"/>
      <c r="P620" s="37"/>
      <c r="Q620" s="37">
        <v>20975.0</v>
      </c>
      <c r="R620" s="131">
        <v>22995.0</v>
      </c>
      <c r="S620" s="37"/>
      <c r="T620" s="37"/>
      <c r="U620" s="37">
        <f t="shared" si="38"/>
        <v>23072.5</v>
      </c>
    </row>
    <row r="621" ht="14.25" customHeight="1">
      <c r="A621" s="37">
        <v>12.0</v>
      </c>
      <c r="B621" s="225">
        <v>7312.0</v>
      </c>
      <c r="C621" s="225">
        <v>6033.0</v>
      </c>
      <c r="D621" s="222" t="s">
        <v>673</v>
      </c>
      <c r="E621" s="223" t="s">
        <v>674</v>
      </c>
      <c r="F621" s="259"/>
      <c r="G621" s="144"/>
      <c r="H621" s="37"/>
      <c r="I621" s="37"/>
      <c r="J621" s="37">
        <v>20575.0</v>
      </c>
      <c r="K621" s="37">
        <v>20575.0</v>
      </c>
      <c r="L621" s="37">
        <v>20575.0</v>
      </c>
      <c r="M621" s="37">
        <v>20575.0</v>
      </c>
      <c r="N621" s="130"/>
      <c r="O621" s="37"/>
      <c r="P621" s="37"/>
      <c r="Q621" s="37">
        <v>21975.0</v>
      </c>
      <c r="R621" s="131">
        <v>22995.0</v>
      </c>
      <c r="S621" s="37"/>
      <c r="T621" s="37"/>
      <c r="U621" s="37">
        <f t="shared" si="38"/>
        <v>24172.5</v>
      </c>
    </row>
    <row r="622" ht="14.25" customHeight="1">
      <c r="A622" s="37">
        <v>13.0</v>
      </c>
      <c r="B622" s="225">
        <v>7334.0</v>
      </c>
      <c r="C622" s="225">
        <v>6051.0</v>
      </c>
      <c r="D622" s="222" t="s">
        <v>675</v>
      </c>
      <c r="E622" s="223" t="s">
        <v>676</v>
      </c>
      <c r="F622" s="259"/>
      <c r="G622" s="144"/>
      <c r="H622" s="37"/>
      <c r="I622" s="37"/>
      <c r="J622" s="37">
        <v>20575.0</v>
      </c>
      <c r="K622" s="37">
        <v>20575.0</v>
      </c>
      <c r="L622" s="37">
        <v>20575.0</v>
      </c>
      <c r="M622" s="37">
        <v>20575.0</v>
      </c>
      <c r="N622" s="130"/>
      <c r="O622" s="37"/>
      <c r="P622" s="37"/>
      <c r="Q622" s="37">
        <v>21975.0</v>
      </c>
      <c r="R622" s="131">
        <v>22995.0</v>
      </c>
      <c r="S622" s="37"/>
      <c r="T622" s="37"/>
      <c r="U622" s="37">
        <f t="shared" si="38"/>
        <v>24172.5</v>
      </c>
    </row>
    <row r="623" ht="14.25" customHeight="1">
      <c r="A623" s="37">
        <v>14.0</v>
      </c>
      <c r="B623" s="225">
        <v>7449.0</v>
      </c>
      <c r="C623" s="225">
        <v>6149.0</v>
      </c>
      <c r="D623" s="222" t="s">
        <v>677</v>
      </c>
      <c r="E623" s="223" t="s">
        <v>678</v>
      </c>
      <c r="F623" s="259"/>
      <c r="G623" s="144"/>
      <c r="H623" s="37"/>
      <c r="I623" s="37"/>
      <c r="J623" s="37">
        <v>20575.0</v>
      </c>
      <c r="K623" s="37">
        <v>20575.0</v>
      </c>
      <c r="L623" s="37">
        <v>20575.0</v>
      </c>
      <c r="M623" s="37">
        <v>20575.0</v>
      </c>
      <c r="N623" s="130"/>
      <c r="O623" s="37"/>
      <c r="P623" s="37"/>
      <c r="Q623" s="37">
        <v>21975.0</v>
      </c>
      <c r="R623" s="131">
        <v>22995.0</v>
      </c>
      <c r="S623" s="37"/>
      <c r="T623" s="37"/>
      <c r="U623" s="37">
        <f t="shared" si="38"/>
        <v>24172.5</v>
      </c>
    </row>
    <row r="624" ht="14.25" customHeight="1">
      <c r="A624" s="37">
        <v>15.0</v>
      </c>
      <c r="B624" s="225">
        <v>4390.0</v>
      </c>
      <c r="C624" s="225">
        <v>3836.0</v>
      </c>
      <c r="D624" s="243" t="s">
        <v>679</v>
      </c>
      <c r="E624" s="243"/>
      <c r="F624" s="144">
        <v>1358.0</v>
      </c>
      <c r="G624" s="144">
        <v>1358.0</v>
      </c>
      <c r="H624" s="37"/>
      <c r="I624" s="37">
        <v>13575.0</v>
      </c>
      <c r="J624" s="37"/>
      <c r="K624" s="37"/>
      <c r="L624" s="37"/>
      <c r="M624" s="37">
        <v>16575.0</v>
      </c>
      <c r="N624" s="37"/>
      <c r="O624" s="37"/>
      <c r="P624" s="37"/>
      <c r="Q624" s="37">
        <v>18975.0</v>
      </c>
      <c r="R624" s="131">
        <v>22995.0</v>
      </c>
      <c r="S624" s="37"/>
      <c r="T624" s="37"/>
      <c r="U624" s="37">
        <f t="shared" si="38"/>
        <v>20872.5</v>
      </c>
    </row>
    <row r="625" ht="14.25" customHeight="1">
      <c r="A625" s="37">
        <v>16.0</v>
      </c>
      <c r="B625" s="225">
        <v>4917.0</v>
      </c>
      <c r="C625" s="225">
        <v>4233.0</v>
      </c>
      <c r="D625" s="243" t="s">
        <v>680</v>
      </c>
      <c r="E625" s="243"/>
      <c r="F625" s="144"/>
      <c r="G625" s="144"/>
      <c r="H625" s="37"/>
      <c r="I625" s="37"/>
      <c r="J625" s="37"/>
      <c r="K625" s="37"/>
      <c r="L625" s="37"/>
      <c r="M625" s="37"/>
      <c r="N625" s="37"/>
      <c r="O625" s="37"/>
      <c r="P625" s="37"/>
      <c r="Q625" s="37">
        <v>18975.0</v>
      </c>
      <c r="R625" s="131">
        <v>22995.0</v>
      </c>
      <c r="S625" s="37"/>
      <c r="T625" s="37"/>
      <c r="U625" s="37">
        <f t="shared" si="38"/>
        <v>20872.5</v>
      </c>
    </row>
    <row r="626" ht="14.25" customHeight="1">
      <c r="A626" s="37">
        <v>17.0</v>
      </c>
      <c r="B626" s="225">
        <v>4867.0</v>
      </c>
      <c r="C626" s="225">
        <v>4185.0</v>
      </c>
      <c r="D626" s="243" t="s">
        <v>681</v>
      </c>
      <c r="E626" s="243"/>
      <c r="F626" s="144"/>
      <c r="G626" s="144"/>
      <c r="H626" s="37"/>
      <c r="I626" s="37"/>
      <c r="J626" s="37"/>
      <c r="K626" s="37"/>
      <c r="L626" s="37"/>
      <c r="M626" s="37"/>
      <c r="N626" s="37"/>
      <c r="O626" s="37"/>
      <c r="P626" s="37"/>
      <c r="Q626" s="37">
        <v>18975.0</v>
      </c>
      <c r="R626" s="131">
        <v>22995.0</v>
      </c>
      <c r="S626" s="37"/>
      <c r="T626" s="37"/>
      <c r="U626" s="37">
        <f t="shared" si="38"/>
        <v>20872.5</v>
      </c>
    </row>
    <row r="627" ht="14.25" customHeight="1">
      <c r="A627" s="37">
        <v>18.0</v>
      </c>
      <c r="B627" s="159">
        <v>3851.0</v>
      </c>
      <c r="C627" s="159">
        <v>3309.0</v>
      </c>
      <c r="D627" s="67" t="s">
        <v>682</v>
      </c>
      <c r="E627" s="144"/>
      <c r="F627" s="37">
        <v>13575.0</v>
      </c>
      <c r="G627" s="37">
        <v>13575.0</v>
      </c>
      <c r="H627" s="37">
        <v>13575.0</v>
      </c>
      <c r="I627" s="37">
        <v>13575.0</v>
      </c>
      <c r="J627" s="37"/>
      <c r="K627" s="37"/>
      <c r="L627" s="37"/>
      <c r="M627" s="37"/>
      <c r="N627" s="37"/>
      <c r="O627" s="37"/>
      <c r="P627" s="37"/>
      <c r="Q627" s="37">
        <v>19975.0</v>
      </c>
      <c r="R627" s="131">
        <v>22995.0</v>
      </c>
      <c r="S627" s="37"/>
      <c r="T627" s="37"/>
      <c r="U627" s="37">
        <f t="shared" si="38"/>
        <v>21972.5</v>
      </c>
    </row>
    <row r="628" ht="14.25" customHeight="1">
      <c r="A628" s="37">
        <v>19.0</v>
      </c>
      <c r="B628" s="29">
        <v>3980.0</v>
      </c>
      <c r="C628" s="29">
        <v>3428.0</v>
      </c>
      <c r="D628" s="30" t="s">
        <v>683</v>
      </c>
      <c r="E628" s="144"/>
      <c r="F628" s="37"/>
      <c r="G628" s="144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131">
        <v>22995.0</v>
      </c>
      <c r="S628" s="37"/>
      <c r="T628" s="37"/>
      <c r="U628" s="37"/>
    </row>
    <row r="629" ht="14.25" customHeight="1">
      <c r="A629" s="37">
        <v>20.0</v>
      </c>
      <c r="B629" s="159">
        <v>4053.0</v>
      </c>
      <c r="C629" s="159">
        <v>3501.0</v>
      </c>
      <c r="D629" s="67" t="s">
        <v>684</v>
      </c>
      <c r="E629" s="144"/>
      <c r="F629" s="37">
        <v>13575.0</v>
      </c>
      <c r="G629" s="37">
        <v>13575.0</v>
      </c>
      <c r="H629" s="37"/>
      <c r="I629" s="37">
        <v>13575.0</v>
      </c>
      <c r="J629" s="37"/>
      <c r="K629" s="37"/>
      <c r="L629" s="37"/>
      <c r="M629" s="37"/>
      <c r="N629" s="37"/>
      <c r="O629" s="37"/>
      <c r="P629" s="37"/>
      <c r="Q629" s="37">
        <v>18975.0</v>
      </c>
      <c r="R629" s="131">
        <v>22995.0</v>
      </c>
      <c r="S629" s="37"/>
      <c r="T629" s="37"/>
      <c r="U629" s="37">
        <f>Q629*1.1</f>
        <v>20872.5</v>
      </c>
    </row>
    <row r="630" ht="14.25" customHeight="1">
      <c r="A630" s="37">
        <v>21.0</v>
      </c>
      <c r="B630" s="29">
        <v>4074.0</v>
      </c>
      <c r="C630" s="29">
        <v>3520.0</v>
      </c>
      <c r="D630" s="76" t="s">
        <v>685</v>
      </c>
      <c r="E630" s="77"/>
      <c r="F630" s="37" t="s">
        <v>686</v>
      </c>
      <c r="G630" s="144"/>
      <c r="H630" s="37"/>
      <c r="I630" s="37"/>
      <c r="J630" s="37" t="s">
        <v>686</v>
      </c>
      <c r="K630" s="37"/>
      <c r="L630" s="37"/>
      <c r="M630" s="37"/>
      <c r="N630" s="37" t="s">
        <v>686</v>
      </c>
      <c r="O630" s="37"/>
      <c r="P630" s="37"/>
      <c r="Q630" s="37"/>
      <c r="R630" s="37" t="s">
        <v>686</v>
      </c>
      <c r="S630" s="37"/>
      <c r="T630" s="37"/>
      <c r="U630" s="37"/>
    </row>
    <row r="631" ht="14.25" customHeight="1">
      <c r="A631" s="88" t="s">
        <v>8</v>
      </c>
      <c r="B631" s="88" t="s">
        <v>9</v>
      </c>
      <c r="C631" s="89" t="s">
        <v>10</v>
      </c>
      <c r="D631" s="90" t="s">
        <v>11</v>
      </c>
      <c r="E631" s="253" t="s">
        <v>12</v>
      </c>
      <c r="F631" s="254" t="s">
        <v>13</v>
      </c>
      <c r="G631" s="255"/>
      <c r="H631" s="255"/>
      <c r="I631" s="256"/>
      <c r="J631" s="257" t="s">
        <v>15</v>
      </c>
      <c r="K631" s="255"/>
      <c r="L631" s="255"/>
      <c r="M631" s="258"/>
      <c r="N631" s="300" t="s">
        <v>17</v>
      </c>
      <c r="O631" s="255"/>
      <c r="P631" s="255"/>
      <c r="Q631" s="301"/>
      <c r="R631" s="52" t="s">
        <v>18</v>
      </c>
      <c r="S631" s="16"/>
      <c r="T631" s="16"/>
      <c r="U631" s="17"/>
    </row>
    <row r="632" ht="14.25" customHeight="1">
      <c r="A632" s="27"/>
      <c r="B632" s="27"/>
      <c r="C632" s="27"/>
      <c r="D632" s="302"/>
      <c r="E632" s="22"/>
      <c r="F632" s="25" t="s">
        <v>20</v>
      </c>
      <c r="G632" s="25" t="s">
        <v>21</v>
      </c>
      <c r="H632" s="25" t="s">
        <v>22</v>
      </c>
      <c r="I632" s="25" t="s">
        <v>23</v>
      </c>
      <c r="J632" s="25" t="s">
        <v>20</v>
      </c>
      <c r="K632" s="25" t="s">
        <v>21</v>
      </c>
      <c r="L632" s="25" t="s">
        <v>22</v>
      </c>
      <c r="M632" s="25" t="s">
        <v>23</v>
      </c>
      <c r="N632" s="25" t="s">
        <v>20</v>
      </c>
      <c r="O632" s="25" t="s">
        <v>21</v>
      </c>
      <c r="P632" s="25" t="s">
        <v>22</v>
      </c>
      <c r="Q632" s="25" t="s">
        <v>23</v>
      </c>
      <c r="R632" s="25" t="s">
        <v>20</v>
      </c>
      <c r="S632" s="25" t="s">
        <v>21</v>
      </c>
      <c r="T632" s="25" t="s">
        <v>22</v>
      </c>
      <c r="U632" s="25" t="s">
        <v>23</v>
      </c>
    </row>
    <row r="633" ht="14.25" customHeight="1">
      <c r="A633" s="37">
        <v>22.0</v>
      </c>
      <c r="B633" s="29">
        <v>7639.0</v>
      </c>
      <c r="C633" s="29">
        <v>6254.0</v>
      </c>
      <c r="D633" s="30" t="s">
        <v>687</v>
      </c>
      <c r="E633" s="30" t="s">
        <v>688</v>
      </c>
      <c r="F633" s="37"/>
      <c r="G633" s="144"/>
      <c r="H633" s="37"/>
      <c r="I633" s="37"/>
      <c r="J633" s="37"/>
      <c r="K633" s="37"/>
      <c r="L633" s="37"/>
      <c r="M633" s="37"/>
      <c r="N633" s="37">
        <v>21575.0</v>
      </c>
      <c r="O633" s="37"/>
      <c r="P633" s="37"/>
      <c r="Q633" s="37">
        <v>21575.0</v>
      </c>
      <c r="R633" s="131">
        <v>22995.0</v>
      </c>
      <c r="S633" s="37"/>
      <c r="T633" s="37"/>
      <c r="U633" s="37">
        <f>Q633*1.1</f>
        <v>23732.5</v>
      </c>
    </row>
    <row r="634" ht="14.25" customHeight="1">
      <c r="A634" s="37"/>
      <c r="B634" s="225"/>
      <c r="C634" s="225"/>
      <c r="D634" s="243"/>
      <c r="E634" s="243"/>
      <c r="F634" s="144"/>
      <c r="G634" s="144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</row>
    <row r="635" ht="14.25" customHeight="1">
      <c r="A635" s="37"/>
      <c r="B635" s="225"/>
      <c r="C635" s="225"/>
      <c r="D635" s="243"/>
      <c r="E635" s="243"/>
      <c r="F635" s="144"/>
      <c r="G635" s="144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</row>
    <row r="636" ht="14.25" customHeight="1">
      <c r="A636" s="37"/>
      <c r="B636" s="225"/>
      <c r="C636" s="225"/>
      <c r="D636" s="243"/>
      <c r="E636" s="243"/>
      <c r="F636" s="144"/>
      <c r="G636" s="144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</row>
    <row r="637" ht="14.25" customHeight="1">
      <c r="A637" s="37"/>
      <c r="B637" s="225"/>
      <c r="C637" s="225"/>
      <c r="D637" s="243"/>
      <c r="E637" s="243"/>
      <c r="F637" s="144"/>
      <c r="G637" s="144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</row>
    <row r="638" ht="14.25" customHeight="1">
      <c r="A638" s="37"/>
      <c r="B638" s="225"/>
      <c r="C638" s="225"/>
      <c r="D638" s="243"/>
      <c r="E638" s="243"/>
      <c r="F638" s="144"/>
      <c r="G638" s="144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</row>
    <row r="639" ht="14.25" customHeight="1">
      <c r="A639" s="37"/>
      <c r="B639" s="225"/>
      <c r="C639" s="225"/>
      <c r="D639" s="243"/>
      <c r="E639" s="243"/>
      <c r="F639" s="144"/>
      <c r="G639" s="144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</row>
    <row r="640" ht="14.25" customHeight="1">
      <c r="A640" s="37"/>
      <c r="B640" s="225"/>
      <c r="C640" s="225"/>
      <c r="D640" s="243"/>
      <c r="E640" s="243"/>
      <c r="F640" s="144"/>
      <c r="G640" s="144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</row>
    <row r="641" ht="14.25" customHeight="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</row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</sheetData>
  <mergeCells count="123">
    <mergeCell ref="N192:Q192"/>
    <mergeCell ref="R192:U192"/>
    <mergeCell ref="A176:U176"/>
    <mergeCell ref="F177:I177"/>
    <mergeCell ref="J177:M177"/>
    <mergeCell ref="N177:Q177"/>
    <mergeCell ref="R177:U177"/>
    <mergeCell ref="F192:I192"/>
    <mergeCell ref="J192:M192"/>
    <mergeCell ref="A223:U223"/>
    <mergeCell ref="A224:U224"/>
    <mergeCell ref="A225:U225"/>
    <mergeCell ref="R226:U226"/>
    <mergeCell ref="R243:U243"/>
    <mergeCell ref="A276:U276"/>
    <mergeCell ref="A277:U277"/>
    <mergeCell ref="A278:U278"/>
    <mergeCell ref="R279:U279"/>
    <mergeCell ref="A302:U302"/>
    <mergeCell ref="A303:U303"/>
    <mergeCell ref="J304:M304"/>
    <mergeCell ref="N304:Q304"/>
    <mergeCell ref="R304:U304"/>
    <mergeCell ref="N358:Q358"/>
    <mergeCell ref="R358:U358"/>
    <mergeCell ref="A335:U335"/>
    <mergeCell ref="F336:I336"/>
    <mergeCell ref="J336:M336"/>
    <mergeCell ref="N336:Q336"/>
    <mergeCell ref="R336:U336"/>
    <mergeCell ref="F358:I358"/>
    <mergeCell ref="J358:M358"/>
    <mergeCell ref="A392:U392"/>
    <mergeCell ref="A393:U393"/>
    <mergeCell ref="A394:U394"/>
    <mergeCell ref="R395:U395"/>
    <mergeCell ref="A423:U423"/>
    <mergeCell ref="A424:U424"/>
    <mergeCell ref="A425:U425"/>
    <mergeCell ref="R426:U426"/>
    <mergeCell ref="R447:U447"/>
    <mergeCell ref="A482:U482"/>
    <mergeCell ref="A483:U483"/>
    <mergeCell ref="A484:U484"/>
    <mergeCell ref="F485:I485"/>
    <mergeCell ref="J485:M485"/>
    <mergeCell ref="N485:Q485"/>
    <mergeCell ref="R485:U485"/>
    <mergeCell ref="F508:I508"/>
    <mergeCell ref="J508:M508"/>
    <mergeCell ref="N508:Q508"/>
    <mergeCell ref="R508:U508"/>
    <mergeCell ref="A544:U544"/>
    <mergeCell ref="A545:V545"/>
    <mergeCell ref="A546:V546"/>
    <mergeCell ref="F547:I547"/>
    <mergeCell ref="J547:M547"/>
    <mergeCell ref="N547:Q547"/>
    <mergeCell ref="R547:U547"/>
    <mergeCell ref="F570:I570"/>
    <mergeCell ref="R570:U570"/>
    <mergeCell ref="N608:Q608"/>
    <mergeCell ref="R608:U608"/>
    <mergeCell ref="F631:I631"/>
    <mergeCell ref="J631:M631"/>
    <mergeCell ref="N631:Q631"/>
    <mergeCell ref="R631:U631"/>
    <mergeCell ref="J570:M570"/>
    <mergeCell ref="N570:Q570"/>
    <mergeCell ref="A605:U605"/>
    <mergeCell ref="A606:V606"/>
    <mergeCell ref="A607:V607"/>
    <mergeCell ref="F608:I608"/>
    <mergeCell ref="J608:M608"/>
    <mergeCell ref="A3:U3"/>
    <mergeCell ref="A4:U4"/>
    <mergeCell ref="A5:U5"/>
    <mergeCell ref="F6:I6"/>
    <mergeCell ref="J6:M6"/>
    <mergeCell ref="N6:Q6"/>
    <mergeCell ref="R6:U6"/>
    <mergeCell ref="A13:U13"/>
    <mergeCell ref="A14:U14"/>
    <mergeCell ref="A15:U15"/>
    <mergeCell ref="J16:M16"/>
    <mergeCell ref="R16:U16"/>
    <mergeCell ref="N19:P19"/>
    <mergeCell ref="J27:M27"/>
    <mergeCell ref="A37:U37"/>
    <mergeCell ref="A38:U38"/>
    <mergeCell ref="A39:U39"/>
    <mergeCell ref="F40:I40"/>
    <mergeCell ref="J40:M40"/>
    <mergeCell ref="N40:Q40"/>
    <mergeCell ref="R40:U40"/>
    <mergeCell ref="F59:I59"/>
    <mergeCell ref="J59:M59"/>
    <mergeCell ref="N59:Q59"/>
    <mergeCell ref="R59:U59"/>
    <mergeCell ref="A94:U94"/>
    <mergeCell ref="A95:U95"/>
    <mergeCell ref="A96:U96"/>
    <mergeCell ref="F97:I97"/>
    <mergeCell ref="J97:M97"/>
    <mergeCell ref="N97:Q97"/>
    <mergeCell ref="R97:U97"/>
    <mergeCell ref="J113:M113"/>
    <mergeCell ref="N113:Q113"/>
    <mergeCell ref="R113:U113"/>
    <mergeCell ref="F113:I113"/>
    <mergeCell ref="F139:I139"/>
    <mergeCell ref="J139:M139"/>
    <mergeCell ref="N139:Q139"/>
    <mergeCell ref="R139:U139"/>
    <mergeCell ref="A174:U174"/>
    <mergeCell ref="A175:U175"/>
    <mergeCell ref="F304:I304"/>
    <mergeCell ref="F319:I319"/>
    <mergeCell ref="J319:M319"/>
    <mergeCell ref="N319:Q319"/>
    <mergeCell ref="R319:U319"/>
    <mergeCell ref="A333:U333"/>
    <mergeCell ref="A334:U33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/>
    <row r="4" ht="14.25" customHeight="1"/>
    <row r="5" ht="14.25" customHeight="1">
      <c r="A5" s="2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14.25" customHeight="1">
      <c r="A6" s="7" t="s">
        <v>5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ht="14.25" customHeight="1">
      <c r="A7" s="11" t="s">
        <v>7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ht="14.25" customHeight="1">
      <c r="A8" s="13" t="s">
        <v>8</v>
      </c>
      <c r="B8" s="13" t="s">
        <v>14</v>
      </c>
      <c r="C8" s="13" t="s">
        <v>9</v>
      </c>
      <c r="D8" s="14" t="s">
        <v>16</v>
      </c>
      <c r="E8" s="19" t="s">
        <v>11</v>
      </c>
      <c r="F8" s="21" t="s">
        <v>12</v>
      </c>
      <c r="G8" s="23" t="s">
        <v>19</v>
      </c>
      <c r="H8" s="24"/>
      <c r="I8" s="24"/>
      <c r="J8" s="24"/>
      <c r="K8" s="26"/>
      <c r="L8" s="23" t="s">
        <v>15</v>
      </c>
      <c r="M8" s="24"/>
      <c r="N8" s="24"/>
      <c r="O8" s="24"/>
      <c r="P8" s="26"/>
      <c r="Q8" s="23" t="s">
        <v>17</v>
      </c>
      <c r="R8" s="24"/>
      <c r="S8" s="24"/>
      <c r="T8" s="24"/>
      <c r="U8" s="26"/>
    </row>
    <row r="9" ht="14.25" customHeight="1">
      <c r="A9" s="28"/>
      <c r="B9" s="28"/>
      <c r="C9" s="28"/>
      <c r="D9" s="28"/>
      <c r="E9" s="28"/>
      <c r="F9" s="32"/>
      <c r="G9" s="34" t="s">
        <v>20</v>
      </c>
      <c r="H9" s="35" t="s">
        <v>21</v>
      </c>
      <c r="I9" s="36" t="s">
        <v>22</v>
      </c>
      <c r="J9" s="36" t="s">
        <v>23</v>
      </c>
      <c r="K9" s="38" t="s">
        <v>27</v>
      </c>
      <c r="L9" s="34" t="s">
        <v>20</v>
      </c>
      <c r="M9" s="35" t="s">
        <v>21</v>
      </c>
      <c r="N9" s="36" t="s">
        <v>22</v>
      </c>
      <c r="O9" s="36" t="s">
        <v>23</v>
      </c>
      <c r="P9" s="38" t="s">
        <v>27</v>
      </c>
      <c r="Q9" s="34" t="s">
        <v>20</v>
      </c>
      <c r="R9" s="35" t="s">
        <v>21</v>
      </c>
      <c r="S9" s="36" t="s">
        <v>22</v>
      </c>
      <c r="T9" s="36" t="s">
        <v>23</v>
      </c>
      <c r="U9" s="38" t="s">
        <v>27</v>
      </c>
    </row>
    <row r="10" ht="14.25" customHeight="1">
      <c r="A10" s="27">
        <v>1.0</v>
      </c>
      <c r="B10" s="43">
        <v>7440.0</v>
      </c>
      <c r="C10" s="43">
        <v>142.0</v>
      </c>
      <c r="D10" s="44" t="s">
        <v>28</v>
      </c>
      <c r="E10" s="45" t="s">
        <v>29</v>
      </c>
      <c r="F10" s="45" t="s">
        <v>30</v>
      </c>
      <c r="G10" s="46"/>
      <c r="H10" s="27"/>
      <c r="I10" s="27"/>
      <c r="J10" s="27"/>
      <c r="K10" s="47"/>
      <c r="L10" s="46"/>
      <c r="M10" s="27"/>
      <c r="N10" s="27"/>
      <c r="O10" s="27">
        <v>12575.0</v>
      </c>
      <c r="P10" s="47"/>
      <c r="Q10" s="46"/>
      <c r="R10" s="27"/>
      <c r="S10" s="27"/>
      <c r="T10" s="27"/>
      <c r="U10" s="47"/>
    </row>
    <row r="11" ht="14.25" customHeight="1">
      <c r="A11" s="27">
        <v>2.0</v>
      </c>
      <c r="B11" s="43">
        <v>7546.0</v>
      </c>
      <c r="C11" s="43">
        <v>150.0</v>
      </c>
      <c r="D11" s="44" t="s">
        <v>28</v>
      </c>
      <c r="E11" s="45" t="s">
        <v>32</v>
      </c>
      <c r="F11" s="45" t="s">
        <v>33</v>
      </c>
      <c r="G11" s="48" t="s">
        <v>34</v>
      </c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51"/>
    </row>
    <row r="12" ht="14.25" customHeight="1">
      <c r="A12" s="27"/>
      <c r="B12" s="44"/>
      <c r="C12" s="44"/>
      <c r="D12" s="44"/>
      <c r="E12" s="53"/>
      <c r="F12" s="54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</row>
    <row r="13" ht="14.25" customHeight="1">
      <c r="A13" s="3"/>
      <c r="B13" s="55"/>
      <c r="C13" s="55"/>
      <c r="D13" s="55"/>
      <c r="E13" s="56"/>
      <c r="F13" s="57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ht="14.25" customHeight="1">
      <c r="A14" s="1" t="s">
        <v>0</v>
      </c>
      <c r="D14" s="55"/>
      <c r="E14" s="60"/>
      <c r="F14" s="57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ht="14.25" customHeight="1">
      <c r="A15" s="1" t="s">
        <v>1</v>
      </c>
      <c r="D15" s="55"/>
      <c r="E15" s="56"/>
      <c r="F15" s="57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ht="14.25" customHeight="1">
      <c r="D16" s="55"/>
      <c r="E16" s="56"/>
      <c r="F16" s="57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ht="14.25" customHeight="1">
      <c r="A17" s="2" t="s">
        <v>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ht="14.25" customHeight="1">
      <c r="A18" s="7" t="s">
        <v>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 ht="14.25" customHeight="1">
      <c r="A19" s="11" t="s">
        <v>7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 ht="14.25" customHeight="1">
      <c r="A20" s="13" t="s">
        <v>8</v>
      </c>
      <c r="B20" s="13" t="s">
        <v>14</v>
      </c>
      <c r="C20" s="13" t="s">
        <v>9</v>
      </c>
      <c r="D20" s="14" t="s">
        <v>16</v>
      </c>
      <c r="E20" s="19" t="s">
        <v>11</v>
      </c>
      <c r="F20" s="21" t="s">
        <v>12</v>
      </c>
      <c r="G20" s="23" t="s">
        <v>19</v>
      </c>
      <c r="H20" s="24"/>
      <c r="I20" s="24"/>
      <c r="J20" s="24"/>
      <c r="K20" s="26"/>
      <c r="L20" s="23" t="s">
        <v>15</v>
      </c>
      <c r="M20" s="24"/>
      <c r="N20" s="24"/>
      <c r="O20" s="24"/>
      <c r="P20" s="26"/>
      <c r="Q20" s="23" t="s">
        <v>17</v>
      </c>
      <c r="R20" s="24"/>
      <c r="S20" s="24"/>
      <c r="T20" s="24"/>
      <c r="U20" s="26"/>
    </row>
    <row r="21" ht="14.25" customHeight="1">
      <c r="A21" s="28"/>
      <c r="B21" s="28"/>
      <c r="C21" s="28"/>
      <c r="D21" s="28"/>
      <c r="E21" s="28"/>
      <c r="F21" s="32"/>
      <c r="G21" s="34" t="s">
        <v>20</v>
      </c>
      <c r="H21" s="35" t="s">
        <v>21</v>
      </c>
      <c r="I21" s="36" t="s">
        <v>22</v>
      </c>
      <c r="J21" s="36" t="s">
        <v>23</v>
      </c>
      <c r="K21" s="38" t="s">
        <v>27</v>
      </c>
      <c r="L21" s="34" t="s">
        <v>20</v>
      </c>
      <c r="M21" s="35" t="s">
        <v>21</v>
      </c>
      <c r="N21" s="36" t="s">
        <v>22</v>
      </c>
      <c r="O21" s="36" t="s">
        <v>23</v>
      </c>
      <c r="P21" s="38" t="s">
        <v>27</v>
      </c>
      <c r="Q21" s="34" t="s">
        <v>20</v>
      </c>
      <c r="R21" s="35" t="s">
        <v>21</v>
      </c>
      <c r="S21" s="36" t="s">
        <v>22</v>
      </c>
      <c r="T21" s="36" t="s">
        <v>23</v>
      </c>
      <c r="U21" s="38" t="s">
        <v>27</v>
      </c>
    </row>
    <row r="22" ht="14.25" customHeight="1">
      <c r="A22" s="27">
        <v>1.0</v>
      </c>
      <c r="B22" s="43">
        <v>7144.0</v>
      </c>
      <c r="C22" s="43">
        <v>128.0</v>
      </c>
      <c r="D22" s="44" t="s">
        <v>47</v>
      </c>
      <c r="E22" s="45" t="s">
        <v>48</v>
      </c>
      <c r="F22" s="45" t="s">
        <v>49</v>
      </c>
      <c r="G22" s="27">
        <v>1255.0</v>
      </c>
      <c r="H22" s="27">
        <v>1255.0</v>
      </c>
      <c r="I22" s="27">
        <v>1255.0</v>
      </c>
      <c r="J22" s="27">
        <v>12550.0</v>
      </c>
      <c r="K22" s="27">
        <f t="shared" ref="K22:K26" si="1">SUM(G22:J22)</f>
        <v>16315</v>
      </c>
      <c r="L22" s="27"/>
      <c r="M22" s="27"/>
      <c r="N22" s="27"/>
      <c r="O22" s="27">
        <v>16375.0</v>
      </c>
      <c r="P22" s="27"/>
      <c r="Q22" s="27"/>
      <c r="R22" s="27"/>
      <c r="S22" s="27"/>
      <c r="T22" s="27"/>
      <c r="U22" s="27"/>
    </row>
    <row r="23" ht="14.25" customHeight="1">
      <c r="A23" s="27">
        <v>2.0</v>
      </c>
      <c r="B23" s="78">
        <v>7145.0</v>
      </c>
      <c r="C23" s="78">
        <v>129.0</v>
      </c>
      <c r="D23" s="44" t="s">
        <v>47</v>
      </c>
      <c r="E23" s="79" t="s">
        <v>57</v>
      </c>
      <c r="F23" s="80" t="s">
        <v>58</v>
      </c>
      <c r="G23" s="27">
        <v>8000.0</v>
      </c>
      <c r="H23" s="27">
        <v>8000.0</v>
      </c>
      <c r="I23" s="27">
        <v>8000.0</v>
      </c>
      <c r="J23" s="27">
        <v>7000.0</v>
      </c>
      <c r="K23" s="27">
        <f t="shared" si="1"/>
        <v>31000</v>
      </c>
      <c r="L23" s="27"/>
      <c r="M23" s="27"/>
      <c r="N23" s="27"/>
      <c r="O23" s="27">
        <v>9975.0</v>
      </c>
      <c r="P23" s="27"/>
      <c r="Q23" s="27"/>
      <c r="R23" s="27"/>
      <c r="S23" s="27"/>
      <c r="T23" s="27"/>
      <c r="U23" s="27"/>
    </row>
    <row r="24" ht="14.25" customHeight="1">
      <c r="A24" s="27">
        <v>3.0</v>
      </c>
      <c r="B24" s="43">
        <v>7154.0</v>
      </c>
      <c r="C24" s="43">
        <v>130.0</v>
      </c>
      <c r="D24" s="44" t="s">
        <v>47</v>
      </c>
      <c r="E24" s="45" t="s">
        <v>62</v>
      </c>
      <c r="F24" s="45" t="s">
        <v>63</v>
      </c>
      <c r="G24" s="27">
        <v>8550.0</v>
      </c>
      <c r="H24" s="27">
        <v>8550.0</v>
      </c>
      <c r="I24" s="27">
        <v>8550.0</v>
      </c>
      <c r="J24" s="27">
        <v>8550.0</v>
      </c>
      <c r="K24" s="27">
        <f t="shared" si="1"/>
        <v>34200</v>
      </c>
      <c r="L24" s="27"/>
      <c r="M24" s="27"/>
      <c r="N24" s="27"/>
      <c r="O24" s="82">
        <v>10575.0</v>
      </c>
      <c r="P24" s="27"/>
      <c r="Q24" s="27"/>
      <c r="R24" s="27"/>
      <c r="S24" s="27"/>
      <c r="T24" s="27"/>
      <c r="U24" s="27"/>
    </row>
    <row r="25" ht="14.25" customHeight="1">
      <c r="A25" s="27">
        <v>4.0</v>
      </c>
      <c r="B25" s="43">
        <v>7184.0</v>
      </c>
      <c r="C25" s="43">
        <v>132.0</v>
      </c>
      <c r="D25" s="44" t="s">
        <v>47</v>
      </c>
      <c r="E25" s="45" t="s">
        <v>66</v>
      </c>
      <c r="F25" s="45" t="s">
        <v>67</v>
      </c>
      <c r="G25" s="27">
        <v>9550.0</v>
      </c>
      <c r="H25" s="27">
        <v>9550.0</v>
      </c>
      <c r="I25" s="27">
        <v>9550.0</v>
      </c>
      <c r="J25" s="27">
        <v>9550.0</v>
      </c>
      <c r="K25" s="27">
        <f t="shared" si="1"/>
        <v>38200</v>
      </c>
      <c r="L25" s="27"/>
      <c r="M25" s="27"/>
      <c r="N25" s="27"/>
      <c r="O25" s="27">
        <v>10575.0</v>
      </c>
      <c r="P25" s="27"/>
      <c r="Q25" s="27"/>
      <c r="R25" s="27"/>
      <c r="S25" s="27"/>
      <c r="T25" s="27"/>
      <c r="U25" s="27"/>
    </row>
    <row r="26" ht="14.25" customHeight="1">
      <c r="A26" s="27">
        <v>5.0</v>
      </c>
      <c r="B26" s="78">
        <v>7211.0</v>
      </c>
      <c r="C26" s="78">
        <v>135.0</v>
      </c>
      <c r="D26" s="44" t="s">
        <v>47</v>
      </c>
      <c r="E26" s="79" t="s">
        <v>70</v>
      </c>
      <c r="F26" s="80" t="s">
        <v>71</v>
      </c>
      <c r="G26" s="27">
        <v>12550.0</v>
      </c>
      <c r="H26" s="27">
        <v>12550.0</v>
      </c>
      <c r="I26" s="27">
        <v>12550.0</v>
      </c>
      <c r="J26" s="27">
        <v>12550.0</v>
      </c>
      <c r="K26" s="27">
        <f t="shared" si="1"/>
        <v>50200</v>
      </c>
      <c r="L26" s="27"/>
      <c r="M26" s="27"/>
      <c r="N26" s="27"/>
      <c r="O26" s="27">
        <v>12575.0</v>
      </c>
      <c r="P26" s="27"/>
      <c r="Q26" s="27"/>
      <c r="R26" s="27"/>
      <c r="S26" s="27"/>
      <c r="T26" s="27"/>
      <c r="U26" s="27"/>
    </row>
    <row r="27" ht="14.25" customHeight="1">
      <c r="A27" s="27">
        <v>6.0</v>
      </c>
      <c r="B27" s="78">
        <v>7441.0</v>
      </c>
      <c r="C27" s="78">
        <v>144.0</v>
      </c>
      <c r="D27" s="44" t="s">
        <v>47</v>
      </c>
      <c r="E27" s="79" t="s">
        <v>76</v>
      </c>
      <c r="F27" s="80" t="s">
        <v>77</v>
      </c>
      <c r="G27" s="27"/>
      <c r="H27" s="27"/>
      <c r="I27" s="27"/>
      <c r="J27" s="27"/>
      <c r="K27" s="27"/>
      <c r="L27" s="27">
        <v>16575.0</v>
      </c>
      <c r="M27" s="27"/>
      <c r="N27" s="27"/>
      <c r="O27" s="27">
        <v>10000.0</v>
      </c>
      <c r="P27" s="27"/>
      <c r="Q27" s="27"/>
      <c r="R27" s="27"/>
      <c r="S27" s="27"/>
      <c r="T27" s="27"/>
      <c r="U27" s="27"/>
    </row>
    <row r="28" ht="14.25" customHeight="1">
      <c r="A28" s="27">
        <v>7.0</v>
      </c>
      <c r="B28" s="43">
        <v>7547.0</v>
      </c>
      <c r="C28" s="43">
        <v>154.0</v>
      </c>
      <c r="D28" s="44" t="s">
        <v>47</v>
      </c>
      <c r="E28" s="45" t="s">
        <v>80</v>
      </c>
      <c r="F28" s="45" t="s">
        <v>81</v>
      </c>
      <c r="G28" s="48" t="s">
        <v>34</v>
      </c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51"/>
    </row>
    <row r="29" ht="14.25" customHeight="1">
      <c r="A29" s="27">
        <v>8.0</v>
      </c>
      <c r="B29" s="43">
        <v>7563.0</v>
      </c>
      <c r="C29" s="43">
        <v>156.0</v>
      </c>
      <c r="D29" s="44" t="s">
        <v>47</v>
      </c>
      <c r="E29" s="63" t="s">
        <v>83</v>
      </c>
      <c r="F29" s="86" t="s">
        <v>84</v>
      </c>
      <c r="G29" s="48" t="s">
        <v>34</v>
      </c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51"/>
    </row>
    <row r="30" ht="14.25" customHeight="1">
      <c r="A30" s="1" t="s">
        <v>0</v>
      </c>
      <c r="D30" s="55"/>
      <c r="E30" s="60"/>
      <c r="F30" s="57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ht="14.25" customHeight="1">
      <c r="A31" s="1" t="s">
        <v>1</v>
      </c>
      <c r="D31" s="55"/>
      <c r="E31" s="56"/>
      <c r="F31" s="57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ht="14.25" customHeight="1">
      <c r="D32" s="55"/>
      <c r="E32" s="56"/>
      <c r="F32" s="57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ht="14.25" customHeight="1">
      <c r="A33" s="2" t="s">
        <v>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ht="14.25" customHeight="1">
      <c r="A34" s="7" t="s">
        <v>5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</row>
    <row r="35" ht="14.25" customHeight="1">
      <c r="A35" s="11" t="s">
        <v>7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ht="14.25" customHeight="1">
      <c r="A36" s="13" t="s">
        <v>8</v>
      </c>
      <c r="B36" s="13" t="s">
        <v>14</v>
      </c>
      <c r="C36" s="13" t="s">
        <v>9</v>
      </c>
      <c r="D36" s="14" t="s">
        <v>16</v>
      </c>
      <c r="E36" s="19" t="s">
        <v>11</v>
      </c>
      <c r="F36" s="21" t="s">
        <v>12</v>
      </c>
      <c r="G36" s="23" t="s">
        <v>19</v>
      </c>
      <c r="H36" s="24"/>
      <c r="I36" s="24"/>
      <c r="J36" s="24"/>
      <c r="K36" s="26"/>
      <c r="L36" s="23" t="s">
        <v>15</v>
      </c>
      <c r="M36" s="24"/>
      <c r="N36" s="24"/>
      <c r="O36" s="24"/>
      <c r="P36" s="26"/>
      <c r="Q36" s="23" t="s">
        <v>17</v>
      </c>
      <c r="R36" s="24"/>
      <c r="S36" s="24"/>
      <c r="T36" s="24"/>
      <c r="U36" s="26"/>
    </row>
    <row r="37" ht="14.25" customHeight="1">
      <c r="A37" s="28"/>
      <c r="B37" s="28"/>
      <c r="C37" s="28"/>
      <c r="D37" s="28"/>
      <c r="E37" s="28"/>
      <c r="F37" s="32"/>
      <c r="G37" s="34" t="s">
        <v>20</v>
      </c>
      <c r="H37" s="35" t="s">
        <v>21</v>
      </c>
      <c r="I37" s="36" t="s">
        <v>22</v>
      </c>
      <c r="J37" s="36" t="s">
        <v>23</v>
      </c>
      <c r="K37" s="38" t="s">
        <v>27</v>
      </c>
      <c r="L37" s="34" t="s">
        <v>20</v>
      </c>
      <c r="M37" s="35" t="s">
        <v>21</v>
      </c>
      <c r="N37" s="36" t="s">
        <v>22</v>
      </c>
      <c r="O37" s="36" t="s">
        <v>23</v>
      </c>
      <c r="P37" s="38" t="s">
        <v>27</v>
      </c>
      <c r="Q37" s="34" t="s">
        <v>20</v>
      </c>
      <c r="R37" s="35" t="s">
        <v>21</v>
      </c>
      <c r="S37" s="36" t="s">
        <v>22</v>
      </c>
      <c r="T37" s="36" t="s">
        <v>23</v>
      </c>
      <c r="U37" s="38" t="s">
        <v>27</v>
      </c>
    </row>
    <row r="38" ht="14.25" customHeight="1">
      <c r="A38" s="27">
        <v>1.0</v>
      </c>
      <c r="B38" s="78">
        <v>6987.0</v>
      </c>
      <c r="C38" s="78">
        <v>118.0</v>
      </c>
      <c r="D38" s="44" t="s">
        <v>90</v>
      </c>
      <c r="E38" s="79" t="s">
        <v>91</v>
      </c>
      <c r="F38" s="80" t="s">
        <v>92</v>
      </c>
      <c r="G38" s="46">
        <v>855.0</v>
      </c>
      <c r="H38" s="27">
        <v>855.0</v>
      </c>
      <c r="I38" s="27">
        <v>855.0</v>
      </c>
      <c r="J38" s="27">
        <v>8000.0</v>
      </c>
      <c r="K38" s="47">
        <f t="shared" ref="K38:K39" si="2">SUM(G38:J38)</f>
        <v>10565</v>
      </c>
      <c r="L38" s="46"/>
      <c r="M38" s="27"/>
      <c r="N38" s="27"/>
      <c r="O38" s="27">
        <v>16575.0</v>
      </c>
      <c r="P38" s="47"/>
      <c r="Q38" s="46"/>
      <c r="R38" s="27"/>
      <c r="S38" s="27"/>
      <c r="T38" s="27"/>
      <c r="U38" s="47"/>
    </row>
    <row r="39" ht="14.25" customHeight="1">
      <c r="A39" s="27">
        <v>2.0</v>
      </c>
      <c r="B39" s="78">
        <v>7143.0</v>
      </c>
      <c r="C39" s="78">
        <v>127.0</v>
      </c>
      <c r="D39" s="44" t="s">
        <v>90</v>
      </c>
      <c r="E39" s="79" t="s">
        <v>95</v>
      </c>
      <c r="F39" s="80" t="s">
        <v>96</v>
      </c>
      <c r="G39" s="46">
        <v>800.0</v>
      </c>
      <c r="H39" s="27">
        <v>800.0</v>
      </c>
      <c r="I39" s="27">
        <v>800.0</v>
      </c>
      <c r="J39" s="27">
        <v>8000.0</v>
      </c>
      <c r="K39" s="47">
        <f t="shared" si="2"/>
        <v>10400</v>
      </c>
      <c r="L39" s="46"/>
      <c r="M39" s="27"/>
      <c r="N39" s="27"/>
      <c r="O39" s="27">
        <v>11775.0</v>
      </c>
      <c r="P39" s="47"/>
      <c r="Q39" s="46"/>
      <c r="R39" s="27"/>
      <c r="S39" s="27"/>
      <c r="T39" s="27"/>
      <c r="U39" s="47"/>
    </row>
    <row r="40" ht="14.25" customHeight="1">
      <c r="A40" s="27"/>
      <c r="B40" s="44"/>
      <c r="C40" s="44"/>
      <c r="D40" s="44"/>
      <c r="E40" s="106"/>
      <c r="F40" s="102"/>
      <c r="G40" s="46"/>
      <c r="H40" s="27"/>
      <c r="I40" s="27"/>
      <c r="J40" s="27"/>
      <c r="K40" s="47"/>
      <c r="L40" s="46"/>
      <c r="M40" s="27"/>
      <c r="N40" s="27"/>
      <c r="O40" s="27"/>
      <c r="P40" s="47"/>
      <c r="Q40" s="46"/>
      <c r="R40" s="27"/>
      <c r="S40" s="27"/>
      <c r="T40" s="27"/>
      <c r="U40" s="47"/>
    </row>
    <row r="41" ht="14.25" customHeight="1">
      <c r="A41" s="1" t="s">
        <v>0</v>
      </c>
      <c r="D41" s="55"/>
      <c r="E41" s="60"/>
      <c r="F41" s="57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ht="14.25" customHeight="1">
      <c r="A42" s="1" t="s">
        <v>1</v>
      </c>
      <c r="D42" s="55"/>
      <c r="E42" s="56"/>
      <c r="F42" s="57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ht="14.25" customHeight="1">
      <c r="D43" s="55"/>
      <c r="E43" s="56"/>
      <c r="F43" s="57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ht="14.25" customHeight="1">
      <c r="A44" s="2" t="s">
        <v>2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ht="14.25" customHeight="1">
      <c r="A45" s="7" t="s">
        <v>5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</row>
    <row r="46" ht="14.25" customHeight="1">
      <c r="A46" s="11" t="s">
        <v>7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ht="14.25" customHeight="1">
      <c r="A47" s="13" t="s">
        <v>8</v>
      </c>
      <c r="B47" s="13" t="s">
        <v>14</v>
      </c>
      <c r="C47" s="13" t="s">
        <v>9</v>
      </c>
      <c r="D47" s="14" t="s">
        <v>16</v>
      </c>
      <c r="E47" s="19" t="s">
        <v>11</v>
      </c>
      <c r="F47" s="21" t="s">
        <v>12</v>
      </c>
      <c r="G47" s="23" t="s">
        <v>19</v>
      </c>
      <c r="H47" s="24"/>
      <c r="I47" s="24"/>
      <c r="J47" s="24"/>
      <c r="K47" s="26"/>
      <c r="L47" s="23" t="s">
        <v>15</v>
      </c>
      <c r="M47" s="24"/>
      <c r="N47" s="24"/>
      <c r="O47" s="24"/>
      <c r="P47" s="26"/>
      <c r="Q47" s="23" t="s">
        <v>17</v>
      </c>
      <c r="R47" s="24"/>
      <c r="S47" s="24"/>
      <c r="T47" s="24"/>
      <c r="U47" s="26"/>
    </row>
    <row r="48" ht="14.25" customHeight="1">
      <c r="A48" s="28"/>
      <c r="B48" s="28"/>
      <c r="C48" s="28"/>
      <c r="D48" s="28"/>
      <c r="E48" s="28"/>
      <c r="F48" s="32"/>
      <c r="G48" s="34" t="s">
        <v>20</v>
      </c>
      <c r="H48" s="35" t="s">
        <v>21</v>
      </c>
      <c r="I48" s="36" t="s">
        <v>22</v>
      </c>
      <c r="J48" s="36" t="s">
        <v>23</v>
      </c>
      <c r="K48" s="38" t="s">
        <v>27</v>
      </c>
      <c r="L48" s="34" t="s">
        <v>20</v>
      </c>
      <c r="M48" s="35" t="s">
        <v>21</v>
      </c>
      <c r="N48" s="36" t="s">
        <v>22</v>
      </c>
      <c r="O48" s="36" t="s">
        <v>23</v>
      </c>
      <c r="P48" s="38" t="s">
        <v>27</v>
      </c>
      <c r="Q48" s="34" t="s">
        <v>20</v>
      </c>
      <c r="R48" s="35" t="s">
        <v>21</v>
      </c>
      <c r="S48" s="36" t="s">
        <v>22</v>
      </c>
      <c r="T48" s="36" t="s">
        <v>23</v>
      </c>
      <c r="U48" s="38" t="s">
        <v>27</v>
      </c>
    </row>
    <row r="49" ht="14.25" customHeight="1">
      <c r="A49" s="27">
        <v>1.0</v>
      </c>
      <c r="B49" s="78">
        <v>7470.0</v>
      </c>
      <c r="C49" s="78">
        <v>145.0</v>
      </c>
      <c r="D49" s="44" t="s">
        <v>113</v>
      </c>
      <c r="E49" s="108" t="s">
        <v>114</v>
      </c>
      <c r="F49" s="80" t="s">
        <v>115</v>
      </c>
      <c r="G49" s="46"/>
      <c r="H49" s="27"/>
      <c r="I49" s="27"/>
      <c r="J49" s="27"/>
      <c r="K49" s="47"/>
      <c r="L49" s="46"/>
      <c r="M49" s="27"/>
      <c r="N49" s="27"/>
      <c r="O49" s="27">
        <v>12575.0</v>
      </c>
      <c r="P49" s="47"/>
      <c r="Q49" s="46"/>
      <c r="R49" s="27"/>
      <c r="S49" s="27"/>
      <c r="T49" s="27"/>
      <c r="U49" s="47"/>
    </row>
    <row r="50" ht="14.25" customHeight="1">
      <c r="A50" s="27"/>
      <c r="B50" s="44"/>
      <c r="C50" s="44"/>
      <c r="D50" s="44"/>
      <c r="E50" s="53"/>
      <c r="F50" s="102"/>
      <c r="G50" s="46"/>
      <c r="H50" s="27"/>
      <c r="I50" s="27"/>
      <c r="J50" s="27"/>
      <c r="K50" s="47"/>
      <c r="L50" s="46"/>
      <c r="M50" s="27"/>
      <c r="N50" s="27"/>
      <c r="O50" s="27"/>
      <c r="P50" s="47"/>
      <c r="Q50" s="46"/>
      <c r="R50" s="27"/>
      <c r="S50" s="27"/>
      <c r="T50" s="27"/>
      <c r="U50" s="47"/>
    </row>
    <row r="51" ht="14.25" customHeight="1">
      <c r="A51" s="27"/>
      <c r="B51" s="44"/>
      <c r="C51" s="44"/>
      <c r="D51" s="44"/>
      <c r="E51" s="53"/>
      <c r="F51" s="102"/>
      <c r="G51" s="46"/>
      <c r="H51" s="27"/>
      <c r="I51" s="27"/>
      <c r="J51" s="27"/>
      <c r="K51" s="47"/>
      <c r="L51" s="46"/>
      <c r="M51" s="27"/>
      <c r="N51" s="27"/>
      <c r="O51" s="27"/>
      <c r="P51" s="47"/>
      <c r="Q51" s="46"/>
      <c r="R51" s="27"/>
      <c r="S51" s="27"/>
      <c r="T51" s="27"/>
      <c r="U51" s="47"/>
    </row>
    <row r="52" ht="14.25" customHeight="1">
      <c r="A52" s="1" t="s">
        <v>0</v>
      </c>
      <c r="D52" s="55"/>
      <c r="E52" s="60"/>
      <c r="F52" s="57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ht="14.25" customHeight="1">
      <c r="A53" s="1" t="s">
        <v>1</v>
      </c>
      <c r="D53" s="55"/>
      <c r="E53" s="56"/>
      <c r="F53" s="57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ht="14.25" customHeight="1">
      <c r="D54" s="55"/>
      <c r="E54" s="56"/>
      <c r="F54" s="57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ht="14.25" customHeight="1">
      <c r="A55" s="2" t="s">
        <v>2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ht="14.25" customHeight="1">
      <c r="A56" s="7" t="s">
        <v>5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</row>
    <row r="57" ht="14.25" customHeight="1">
      <c r="A57" s="11" t="s">
        <v>7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ht="14.25" customHeight="1">
      <c r="A58" s="13" t="s">
        <v>8</v>
      </c>
      <c r="B58" s="13" t="s">
        <v>14</v>
      </c>
      <c r="C58" s="13" t="s">
        <v>9</v>
      </c>
      <c r="D58" s="14" t="s">
        <v>16</v>
      </c>
      <c r="E58" s="19" t="s">
        <v>11</v>
      </c>
      <c r="F58" s="21" t="s">
        <v>12</v>
      </c>
      <c r="G58" s="23" t="s">
        <v>19</v>
      </c>
      <c r="H58" s="24"/>
      <c r="I58" s="24"/>
      <c r="J58" s="24"/>
      <c r="K58" s="26"/>
      <c r="L58" s="23" t="s">
        <v>15</v>
      </c>
      <c r="M58" s="24"/>
      <c r="N58" s="24"/>
      <c r="O58" s="24"/>
      <c r="P58" s="26"/>
      <c r="Q58" s="23" t="s">
        <v>17</v>
      </c>
      <c r="R58" s="24"/>
      <c r="S58" s="24"/>
      <c r="T58" s="24"/>
      <c r="U58" s="26"/>
    </row>
    <row r="59" ht="14.25" customHeight="1">
      <c r="A59" s="28"/>
      <c r="B59" s="28"/>
      <c r="C59" s="28"/>
      <c r="D59" s="28"/>
      <c r="E59" s="28"/>
      <c r="F59" s="32"/>
      <c r="G59" s="34" t="s">
        <v>20</v>
      </c>
      <c r="H59" s="35" t="s">
        <v>21</v>
      </c>
      <c r="I59" s="36" t="s">
        <v>22</v>
      </c>
      <c r="J59" s="36" t="s">
        <v>23</v>
      </c>
      <c r="K59" s="38" t="s">
        <v>27</v>
      </c>
      <c r="L59" s="34" t="s">
        <v>20</v>
      </c>
      <c r="M59" s="35" t="s">
        <v>21</v>
      </c>
      <c r="N59" s="36" t="s">
        <v>22</v>
      </c>
      <c r="O59" s="36" t="s">
        <v>23</v>
      </c>
      <c r="P59" s="38" t="s">
        <v>27</v>
      </c>
      <c r="Q59" s="34" t="s">
        <v>20</v>
      </c>
      <c r="R59" s="35" t="s">
        <v>21</v>
      </c>
      <c r="S59" s="36" t="s">
        <v>22</v>
      </c>
      <c r="T59" s="36" t="s">
        <v>23</v>
      </c>
      <c r="U59" s="38" t="s">
        <v>27</v>
      </c>
    </row>
    <row r="60" ht="14.25" customHeight="1">
      <c r="A60" s="27">
        <v>1.0</v>
      </c>
      <c r="B60" s="78">
        <v>6495.0</v>
      </c>
      <c r="C60" s="78">
        <v>60.0</v>
      </c>
      <c r="D60" s="44" t="s">
        <v>123</v>
      </c>
      <c r="E60" s="79" t="s">
        <v>124</v>
      </c>
      <c r="F60" s="80" t="s">
        <v>126</v>
      </c>
      <c r="G60" s="46" t="s">
        <v>110</v>
      </c>
      <c r="H60" s="46" t="s">
        <v>110</v>
      </c>
      <c r="I60" s="46" t="s">
        <v>110</v>
      </c>
      <c r="J60" s="46" t="s">
        <v>110</v>
      </c>
      <c r="K60" s="46" t="s">
        <v>110</v>
      </c>
      <c r="L60" s="46" t="s">
        <v>110</v>
      </c>
      <c r="M60" s="46" t="s">
        <v>110</v>
      </c>
      <c r="N60" s="46" t="s">
        <v>110</v>
      </c>
      <c r="O60" s="46" t="s">
        <v>110</v>
      </c>
      <c r="P60" s="46" t="s">
        <v>110</v>
      </c>
      <c r="Q60" s="46" t="s">
        <v>110</v>
      </c>
      <c r="R60" s="46" t="s">
        <v>110</v>
      </c>
      <c r="S60" s="46" t="s">
        <v>110</v>
      </c>
      <c r="T60" s="46" t="s">
        <v>110</v>
      </c>
      <c r="U60" s="46" t="s">
        <v>110</v>
      </c>
    </row>
    <row r="61" ht="14.25" customHeight="1">
      <c r="A61" s="27">
        <v>2.0</v>
      </c>
      <c r="B61" s="78">
        <v>6538.0</v>
      </c>
      <c r="C61" s="78">
        <v>66.0</v>
      </c>
      <c r="D61" s="44" t="s">
        <v>123</v>
      </c>
      <c r="E61" s="79" t="s">
        <v>128</v>
      </c>
      <c r="F61" s="80" t="s">
        <v>129</v>
      </c>
      <c r="G61" s="46">
        <v>758.0</v>
      </c>
      <c r="H61" s="27">
        <v>758.0</v>
      </c>
      <c r="I61" s="27">
        <v>758.0</v>
      </c>
      <c r="J61" s="27">
        <v>7575.0</v>
      </c>
      <c r="K61" s="47">
        <f t="shared" ref="K61:K66" si="3">SUM(G61:J61)</f>
        <v>9849</v>
      </c>
      <c r="L61" s="46"/>
      <c r="M61" s="27"/>
      <c r="N61" s="27"/>
      <c r="O61" s="27">
        <v>9875.0</v>
      </c>
      <c r="P61" s="47"/>
      <c r="Q61" s="46"/>
      <c r="R61" s="27"/>
      <c r="S61" s="27"/>
      <c r="T61" s="27"/>
      <c r="U61" s="47"/>
    </row>
    <row r="62" ht="14.25" customHeight="1">
      <c r="A62" s="27">
        <v>3.0</v>
      </c>
      <c r="B62" s="78">
        <v>6589.0</v>
      </c>
      <c r="C62" s="78">
        <v>71.0</v>
      </c>
      <c r="D62" s="44" t="s">
        <v>123</v>
      </c>
      <c r="E62" s="79" t="s">
        <v>131</v>
      </c>
      <c r="F62" s="80" t="s">
        <v>132</v>
      </c>
      <c r="G62" s="46">
        <v>658.0</v>
      </c>
      <c r="H62" s="27">
        <v>658.0</v>
      </c>
      <c r="I62" s="27"/>
      <c r="J62" s="27">
        <v>6575.0</v>
      </c>
      <c r="K62" s="47">
        <f t="shared" si="3"/>
        <v>7891</v>
      </c>
      <c r="L62" s="46"/>
      <c r="M62" s="27"/>
      <c r="N62" s="27"/>
      <c r="O62" s="27">
        <v>9875.0</v>
      </c>
      <c r="P62" s="47"/>
      <c r="Q62" s="46"/>
      <c r="R62" s="27"/>
      <c r="S62" s="27"/>
      <c r="T62" s="27"/>
      <c r="U62" s="47"/>
    </row>
    <row r="63" ht="14.25" customHeight="1">
      <c r="A63" s="27">
        <v>4.0</v>
      </c>
      <c r="B63" s="43">
        <v>6662.0</v>
      </c>
      <c r="C63" s="43">
        <v>79.0</v>
      </c>
      <c r="D63" s="44" t="s">
        <v>123</v>
      </c>
      <c r="E63" s="79" t="s">
        <v>136</v>
      </c>
      <c r="F63" s="86" t="s">
        <v>137</v>
      </c>
      <c r="G63" s="46">
        <v>958.0</v>
      </c>
      <c r="H63" s="27">
        <v>958.0</v>
      </c>
      <c r="I63" s="27">
        <v>958.0</v>
      </c>
      <c r="J63" s="27">
        <v>9575.0</v>
      </c>
      <c r="K63" s="47">
        <f t="shared" si="3"/>
        <v>12449</v>
      </c>
      <c r="L63" s="46"/>
      <c r="M63" s="27"/>
      <c r="N63" s="27"/>
      <c r="O63" s="27">
        <v>12475.0</v>
      </c>
      <c r="P63" s="47"/>
      <c r="Q63" s="46"/>
      <c r="R63" s="27"/>
      <c r="S63" s="27"/>
      <c r="T63" s="27"/>
      <c r="U63" s="47"/>
    </row>
    <row r="64" ht="14.25" customHeight="1">
      <c r="A64" s="27">
        <v>5.0</v>
      </c>
      <c r="B64" s="43">
        <v>6692.0</v>
      </c>
      <c r="C64" s="43">
        <v>80.0</v>
      </c>
      <c r="D64" s="44" t="s">
        <v>123</v>
      </c>
      <c r="E64" s="63" t="s">
        <v>139</v>
      </c>
      <c r="F64" s="63" t="s">
        <v>140</v>
      </c>
      <c r="G64" s="46">
        <v>958.0</v>
      </c>
      <c r="H64" s="27">
        <v>958.0</v>
      </c>
      <c r="I64" s="27">
        <v>958.0</v>
      </c>
      <c r="J64" s="27">
        <v>9575.0</v>
      </c>
      <c r="K64" s="47">
        <f t="shared" si="3"/>
        <v>12449</v>
      </c>
      <c r="L64" s="46"/>
      <c r="M64" s="27"/>
      <c r="N64" s="27"/>
      <c r="O64" s="27">
        <v>12475.0</v>
      </c>
      <c r="P64" s="47"/>
      <c r="Q64" s="46"/>
      <c r="R64" s="27"/>
      <c r="S64" s="27"/>
      <c r="T64" s="27"/>
      <c r="U64" s="47"/>
    </row>
    <row r="65" ht="14.25" customHeight="1">
      <c r="A65" s="27">
        <v>6.0</v>
      </c>
      <c r="B65" s="43">
        <v>6921.0</v>
      </c>
      <c r="C65" s="43">
        <v>108.0</v>
      </c>
      <c r="D65" s="44" t="s">
        <v>123</v>
      </c>
      <c r="E65" s="45" t="s">
        <v>141</v>
      </c>
      <c r="F65" s="45" t="s">
        <v>142</v>
      </c>
      <c r="G65" s="46">
        <v>675.0</v>
      </c>
      <c r="H65" s="27">
        <v>675.0</v>
      </c>
      <c r="I65" s="27">
        <v>675.0</v>
      </c>
      <c r="J65" s="27">
        <v>6750.0</v>
      </c>
      <c r="K65" s="47">
        <f t="shared" si="3"/>
        <v>8775</v>
      </c>
      <c r="L65" s="46"/>
      <c r="M65" s="27"/>
      <c r="N65" s="27"/>
      <c r="O65" s="27">
        <v>8775.0</v>
      </c>
      <c r="P65" s="47"/>
      <c r="Q65" s="46"/>
      <c r="R65" s="27"/>
      <c r="S65" s="27"/>
      <c r="T65" s="27"/>
      <c r="U65" s="47"/>
    </row>
    <row r="66" ht="14.25" customHeight="1">
      <c r="A66" s="27">
        <v>7.0</v>
      </c>
      <c r="B66" s="43">
        <v>7088.0</v>
      </c>
      <c r="C66" s="43">
        <v>125.0</v>
      </c>
      <c r="D66" s="44" t="s">
        <v>123</v>
      </c>
      <c r="E66" s="45" t="s">
        <v>143</v>
      </c>
      <c r="F66" s="45" t="s">
        <v>144</v>
      </c>
      <c r="G66" s="46">
        <v>10550.0</v>
      </c>
      <c r="H66" s="27">
        <v>10550.0</v>
      </c>
      <c r="I66" s="27">
        <v>10550.0</v>
      </c>
      <c r="J66" s="27">
        <v>10550.0</v>
      </c>
      <c r="K66" s="47">
        <f t="shared" si="3"/>
        <v>42200</v>
      </c>
      <c r="L66" s="46"/>
      <c r="M66" s="27"/>
      <c r="N66" s="27"/>
      <c r="O66" s="27">
        <v>10575.0</v>
      </c>
      <c r="P66" s="47"/>
      <c r="Q66" s="46"/>
      <c r="R66" s="27"/>
      <c r="S66" s="27"/>
      <c r="T66" s="27"/>
      <c r="U66" s="47"/>
    </row>
    <row r="67" ht="14.25" customHeight="1">
      <c r="A67" s="27">
        <v>8.0</v>
      </c>
      <c r="B67" s="43">
        <v>7262.0</v>
      </c>
      <c r="C67" s="43">
        <v>139.0</v>
      </c>
      <c r="D67" s="44" t="s">
        <v>123</v>
      </c>
      <c r="E67" s="45" t="s">
        <v>145</v>
      </c>
      <c r="F67" s="45" t="s">
        <v>146</v>
      </c>
      <c r="G67" s="46"/>
      <c r="H67" s="27"/>
      <c r="I67" s="27"/>
      <c r="J67" s="27"/>
      <c r="K67" s="47"/>
      <c r="L67" s="46">
        <v>16575.0</v>
      </c>
      <c r="M67" s="27"/>
      <c r="N67" s="27"/>
      <c r="O67" s="27">
        <v>12575.0</v>
      </c>
      <c r="P67" s="47"/>
      <c r="Q67" s="46"/>
      <c r="R67" s="27"/>
      <c r="S67" s="27"/>
      <c r="T67" s="27"/>
      <c r="U67" s="47"/>
    </row>
    <row r="68" ht="14.25" customHeight="1">
      <c r="A68" s="27"/>
      <c r="B68" s="43"/>
      <c r="C68" s="43"/>
      <c r="D68" s="44"/>
      <c r="E68" s="45"/>
      <c r="F68" s="120"/>
      <c r="G68" s="46"/>
      <c r="H68" s="27"/>
      <c r="I68" s="27"/>
      <c r="J68" s="27"/>
      <c r="K68" s="47"/>
      <c r="L68" s="46"/>
      <c r="M68" s="27"/>
      <c r="N68" s="27"/>
      <c r="O68" s="27"/>
      <c r="P68" s="47"/>
      <c r="Q68" s="46"/>
      <c r="R68" s="27"/>
      <c r="S68" s="27"/>
      <c r="T68" s="27"/>
      <c r="U68" s="47"/>
    </row>
    <row r="69" ht="14.25" customHeight="1">
      <c r="A69" s="1" t="s">
        <v>0</v>
      </c>
      <c r="D69" s="55"/>
      <c r="E69" s="60"/>
      <c r="F69" s="57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ht="14.25" customHeight="1">
      <c r="A70" s="1" t="s">
        <v>1</v>
      </c>
      <c r="D70" s="55"/>
      <c r="E70" s="56"/>
      <c r="F70" s="57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ht="14.25" customHeight="1">
      <c r="D71" s="55"/>
      <c r="E71" s="56"/>
      <c r="F71" s="57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ht="14.25" customHeight="1">
      <c r="A72" s="2" t="s">
        <v>2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ht="14.25" customHeight="1">
      <c r="A73" s="7" t="s">
        <v>5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</row>
    <row r="74" ht="14.25" customHeight="1">
      <c r="A74" s="11" t="s">
        <v>7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</row>
    <row r="75" ht="14.25" customHeight="1">
      <c r="A75" s="13" t="s">
        <v>8</v>
      </c>
      <c r="B75" s="13" t="s">
        <v>14</v>
      </c>
      <c r="C75" s="13" t="s">
        <v>9</v>
      </c>
      <c r="D75" s="14" t="s">
        <v>16</v>
      </c>
      <c r="E75" s="19" t="s">
        <v>11</v>
      </c>
      <c r="F75" s="21" t="s">
        <v>12</v>
      </c>
      <c r="G75" s="23" t="s">
        <v>19</v>
      </c>
      <c r="H75" s="24"/>
      <c r="I75" s="24"/>
      <c r="J75" s="24"/>
      <c r="K75" s="26"/>
      <c r="L75" s="23" t="s">
        <v>15</v>
      </c>
      <c r="M75" s="24"/>
      <c r="N75" s="24"/>
      <c r="O75" s="24"/>
      <c r="P75" s="26"/>
      <c r="Q75" s="23" t="s">
        <v>17</v>
      </c>
      <c r="R75" s="24"/>
      <c r="S75" s="24"/>
      <c r="T75" s="24"/>
      <c r="U75" s="26"/>
    </row>
    <row r="76" ht="14.25" customHeight="1">
      <c r="A76" s="28"/>
      <c r="B76" s="28"/>
      <c r="C76" s="28"/>
      <c r="D76" s="28"/>
      <c r="E76" s="28"/>
      <c r="F76" s="32"/>
      <c r="G76" s="34" t="s">
        <v>20</v>
      </c>
      <c r="H76" s="35" t="s">
        <v>21</v>
      </c>
      <c r="I76" s="36" t="s">
        <v>22</v>
      </c>
      <c r="J76" s="36" t="s">
        <v>23</v>
      </c>
      <c r="K76" s="38" t="s">
        <v>27</v>
      </c>
      <c r="L76" s="34" t="s">
        <v>20</v>
      </c>
      <c r="M76" s="35" t="s">
        <v>21</v>
      </c>
      <c r="N76" s="36" t="s">
        <v>22</v>
      </c>
      <c r="O76" s="36" t="s">
        <v>23</v>
      </c>
      <c r="P76" s="38" t="s">
        <v>27</v>
      </c>
      <c r="Q76" s="34" t="s">
        <v>20</v>
      </c>
      <c r="R76" s="35" t="s">
        <v>21</v>
      </c>
      <c r="S76" s="36" t="s">
        <v>22</v>
      </c>
      <c r="T76" s="36" t="s">
        <v>23</v>
      </c>
      <c r="U76" s="38" t="s">
        <v>27</v>
      </c>
    </row>
    <row r="77" ht="14.25" customHeight="1">
      <c r="A77" s="27">
        <v>1.0</v>
      </c>
      <c r="B77" s="78">
        <v>6521.0</v>
      </c>
      <c r="C77" s="78">
        <v>64.0</v>
      </c>
      <c r="D77" s="44" t="s">
        <v>161</v>
      </c>
      <c r="E77" s="79" t="s">
        <v>162</v>
      </c>
      <c r="F77" s="80" t="s">
        <v>163</v>
      </c>
      <c r="G77" s="46">
        <v>758.0</v>
      </c>
      <c r="H77" s="27">
        <v>758.0</v>
      </c>
      <c r="I77" s="27"/>
      <c r="J77" s="27">
        <v>7575.0</v>
      </c>
      <c r="K77" s="47">
        <f t="shared" ref="K77:K78" si="4">SUM(G77:J77)</f>
        <v>9091</v>
      </c>
      <c r="L77" s="46"/>
      <c r="M77" s="27"/>
      <c r="N77" s="27"/>
      <c r="O77" s="27">
        <v>9075.0</v>
      </c>
      <c r="P77" s="47"/>
      <c r="Q77" s="46"/>
      <c r="R77" s="27"/>
      <c r="S77" s="27"/>
      <c r="T77" s="27"/>
      <c r="U77" s="47"/>
    </row>
    <row r="78" ht="14.25" customHeight="1">
      <c r="A78" s="27">
        <v>2.0</v>
      </c>
      <c r="B78" s="78">
        <v>6539.0</v>
      </c>
      <c r="C78" s="78">
        <v>65.0</v>
      </c>
      <c r="D78" s="44" t="s">
        <v>161</v>
      </c>
      <c r="E78" s="79" t="s">
        <v>155</v>
      </c>
      <c r="F78" s="80" t="s">
        <v>168</v>
      </c>
      <c r="G78" s="46">
        <v>8575.0</v>
      </c>
      <c r="H78" s="27">
        <v>8575.0</v>
      </c>
      <c r="I78" s="27"/>
      <c r="J78" s="27">
        <v>8575.0</v>
      </c>
      <c r="K78" s="47">
        <f t="shared" si="4"/>
        <v>25725</v>
      </c>
      <c r="L78" s="46"/>
      <c r="M78" s="27"/>
      <c r="N78" s="27"/>
      <c r="O78" s="27">
        <v>9975.0</v>
      </c>
      <c r="P78" s="47"/>
      <c r="Q78" s="46"/>
      <c r="R78" s="27"/>
      <c r="S78" s="27"/>
      <c r="T78" s="27"/>
      <c r="U78" s="47"/>
    </row>
    <row r="79" ht="14.25" customHeight="1">
      <c r="A79" s="27">
        <v>3.0</v>
      </c>
      <c r="B79" s="78">
        <v>6602.0</v>
      </c>
      <c r="C79" s="78">
        <v>74.0</v>
      </c>
      <c r="D79" s="44" t="s">
        <v>161</v>
      </c>
      <c r="E79" s="79" t="s">
        <v>173</v>
      </c>
      <c r="F79" s="80" t="s">
        <v>175</v>
      </c>
      <c r="G79" s="46">
        <v>858.0</v>
      </c>
      <c r="H79" s="27">
        <v>858.0</v>
      </c>
      <c r="I79" s="27">
        <v>858.0</v>
      </c>
      <c r="J79" s="27"/>
      <c r="K79" s="47"/>
      <c r="L79" s="46"/>
      <c r="M79" s="27"/>
      <c r="N79" s="27"/>
      <c r="O79" s="27">
        <v>9675.0</v>
      </c>
      <c r="P79" s="47"/>
      <c r="Q79" s="46"/>
      <c r="R79" s="27"/>
      <c r="S79" s="27"/>
      <c r="T79" s="27"/>
      <c r="U79" s="47"/>
    </row>
    <row r="80" ht="14.25" customHeight="1">
      <c r="A80" s="27">
        <v>4.0</v>
      </c>
      <c r="B80" s="43">
        <v>7087.0</v>
      </c>
      <c r="C80" s="43">
        <v>131.0</v>
      </c>
      <c r="D80" s="44" t="s">
        <v>161</v>
      </c>
      <c r="E80" s="63" t="s">
        <v>179</v>
      </c>
      <c r="F80" s="63" t="s">
        <v>180</v>
      </c>
      <c r="G80" s="46">
        <v>9550.0</v>
      </c>
      <c r="H80" s="27">
        <v>9550.0</v>
      </c>
      <c r="I80" s="27">
        <v>9550.0</v>
      </c>
      <c r="J80" s="27">
        <v>9550.0</v>
      </c>
      <c r="K80" s="47">
        <f>SUM(G80:J80)</f>
        <v>38200</v>
      </c>
      <c r="L80" s="46"/>
      <c r="M80" s="27"/>
      <c r="N80" s="27"/>
      <c r="O80" s="27">
        <v>9975.0</v>
      </c>
      <c r="P80" s="47"/>
      <c r="Q80" s="46"/>
      <c r="R80" s="27"/>
      <c r="S80" s="27"/>
      <c r="T80" s="27"/>
      <c r="U80" s="47"/>
    </row>
    <row r="81" ht="14.25" customHeight="1">
      <c r="A81" s="27"/>
      <c r="B81" s="43"/>
      <c r="C81" s="43"/>
      <c r="D81" s="44"/>
      <c r="E81" s="63"/>
      <c r="F81" s="139"/>
      <c r="G81" s="46"/>
      <c r="H81" s="27"/>
      <c r="I81" s="27"/>
      <c r="J81" s="27"/>
      <c r="K81" s="47"/>
      <c r="L81" s="46"/>
      <c r="M81" s="27"/>
      <c r="N81" s="27"/>
      <c r="O81" s="27"/>
      <c r="P81" s="47"/>
      <c r="Q81" s="46"/>
      <c r="R81" s="27"/>
      <c r="S81" s="27"/>
      <c r="T81" s="27"/>
      <c r="U81" s="47"/>
    </row>
    <row r="82" ht="14.25" customHeight="1">
      <c r="A82" s="1" t="s">
        <v>0</v>
      </c>
      <c r="D82" s="55"/>
      <c r="E82" s="60"/>
      <c r="F82" s="57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ht="14.25" customHeight="1">
      <c r="A83" s="1" t="s">
        <v>1</v>
      </c>
      <c r="D83" s="55"/>
      <c r="E83" s="56"/>
      <c r="F83" s="57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ht="14.25" customHeight="1">
      <c r="D84" s="55"/>
      <c r="E84" s="56"/>
      <c r="F84" s="57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ht="14.25" customHeight="1">
      <c r="A85" s="2" t="s">
        <v>2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ht="14.25" customHeight="1">
      <c r="A86" s="7" t="s">
        <v>5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</row>
    <row r="87" ht="14.25" customHeight="1">
      <c r="A87" s="11" t="s">
        <v>7</v>
      </c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</row>
    <row r="88" ht="14.25" customHeight="1">
      <c r="A88" s="13" t="s">
        <v>8</v>
      </c>
      <c r="B88" s="13" t="s">
        <v>14</v>
      </c>
      <c r="C88" s="13" t="s">
        <v>9</v>
      </c>
      <c r="D88" s="14" t="s">
        <v>16</v>
      </c>
      <c r="E88" s="19" t="s">
        <v>11</v>
      </c>
      <c r="F88" s="21" t="s">
        <v>12</v>
      </c>
      <c r="G88" s="23" t="s">
        <v>19</v>
      </c>
      <c r="H88" s="24"/>
      <c r="I88" s="24"/>
      <c r="J88" s="24"/>
      <c r="K88" s="26"/>
      <c r="L88" s="23" t="s">
        <v>15</v>
      </c>
      <c r="M88" s="24"/>
      <c r="N88" s="24"/>
      <c r="O88" s="24"/>
      <c r="P88" s="26"/>
      <c r="Q88" s="23" t="s">
        <v>17</v>
      </c>
      <c r="R88" s="24"/>
      <c r="S88" s="24"/>
      <c r="T88" s="24"/>
      <c r="U88" s="26"/>
    </row>
    <row r="89" ht="14.25" customHeight="1">
      <c r="A89" s="28"/>
      <c r="B89" s="28"/>
      <c r="C89" s="28"/>
      <c r="D89" s="28"/>
      <c r="E89" s="28"/>
      <c r="F89" s="32"/>
      <c r="G89" s="34" t="s">
        <v>20</v>
      </c>
      <c r="H89" s="35" t="s">
        <v>21</v>
      </c>
      <c r="I89" s="36" t="s">
        <v>22</v>
      </c>
      <c r="J89" s="36" t="s">
        <v>23</v>
      </c>
      <c r="K89" s="38" t="s">
        <v>27</v>
      </c>
      <c r="L89" s="34" t="s">
        <v>20</v>
      </c>
      <c r="M89" s="35" t="s">
        <v>21</v>
      </c>
      <c r="N89" s="36" t="s">
        <v>22</v>
      </c>
      <c r="O89" s="36" t="s">
        <v>23</v>
      </c>
      <c r="P89" s="38" t="s">
        <v>27</v>
      </c>
      <c r="Q89" s="34" t="s">
        <v>20</v>
      </c>
      <c r="R89" s="35" t="s">
        <v>21</v>
      </c>
      <c r="S89" s="36" t="s">
        <v>22</v>
      </c>
      <c r="T89" s="36" t="s">
        <v>23</v>
      </c>
      <c r="U89" s="38" t="s">
        <v>27</v>
      </c>
    </row>
    <row r="90" ht="14.25" customHeight="1">
      <c r="A90" s="27">
        <v>1.0</v>
      </c>
      <c r="B90" s="43">
        <v>5571.0</v>
      </c>
      <c r="C90" s="145" t="s">
        <v>196</v>
      </c>
      <c r="D90" s="44" t="s">
        <v>197</v>
      </c>
      <c r="E90" s="63" t="s">
        <v>198</v>
      </c>
      <c r="F90" s="86" t="s">
        <v>144</v>
      </c>
      <c r="G90" s="46">
        <v>858.0</v>
      </c>
      <c r="H90" s="27">
        <v>858.0</v>
      </c>
      <c r="I90" s="27"/>
      <c r="J90" s="27">
        <v>8575.0</v>
      </c>
      <c r="K90" s="47">
        <f>SUM(G90:J90)</f>
        <v>10291</v>
      </c>
      <c r="L90" s="46"/>
      <c r="M90" s="27"/>
      <c r="N90" s="27"/>
      <c r="O90" s="27">
        <v>10275.0</v>
      </c>
      <c r="P90" s="47"/>
      <c r="Q90" s="46"/>
      <c r="R90" s="27"/>
      <c r="S90" s="27"/>
      <c r="T90" s="27"/>
      <c r="U90" s="47"/>
    </row>
    <row r="91" ht="14.25" customHeight="1">
      <c r="A91" s="27">
        <v>2.0</v>
      </c>
      <c r="B91" s="43">
        <v>5621.0</v>
      </c>
      <c r="C91" s="145" t="s">
        <v>199</v>
      </c>
      <c r="D91" s="44" t="s">
        <v>197</v>
      </c>
      <c r="E91" s="63" t="s">
        <v>200</v>
      </c>
      <c r="F91" s="147" t="s">
        <v>201</v>
      </c>
      <c r="G91" s="46" t="s">
        <v>110</v>
      </c>
      <c r="H91" s="46" t="s">
        <v>110</v>
      </c>
      <c r="I91" s="46" t="s">
        <v>110</v>
      </c>
      <c r="J91" s="46" t="s">
        <v>110</v>
      </c>
      <c r="K91" s="46" t="s">
        <v>110</v>
      </c>
      <c r="L91" s="46" t="s">
        <v>110</v>
      </c>
      <c r="M91" s="46" t="s">
        <v>110</v>
      </c>
      <c r="N91" s="46" t="s">
        <v>110</v>
      </c>
      <c r="O91" s="46" t="s">
        <v>110</v>
      </c>
      <c r="P91" s="46" t="s">
        <v>110</v>
      </c>
      <c r="Q91" s="46"/>
      <c r="R91" s="27"/>
      <c r="S91" s="27"/>
      <c r="T91" s="27"/>
      <c r="U91" s="47"/>
    </row>
    <row r="92" ht="14.25" customHeight="1">
      <c r="A92" s="27">
        <v>3.0</v>
      </c>
      <c r="B92" s="43">
        <v>5690.0</v>
      </c>
      <c r="C92" s="145" t="s">
        <v>202</v>
      </c>
      <c r="D92" s="44" t="s">
        <v>197</v>
      </c>
      <c r="E92" s="63" t="s">
        <v>203</v>
      </c>
      <c r="F92" s="86" t="s">
        <v>204</v>
      </c>
      <c r="G92" s="46" t="s">
        <v>110</v>
      </c>
      <c r="H92" s="46" t="s">
        <v>110</v>
      </c>
      <c r="I92" s="46" t="s">
        <v>110</v>
      </c>
      <c r="J92" s="46" t="s">
        <v>110</v>
      </c>
      <c r="K92" s="46" t="s">
        <v>110</v>
      </c>
      <c r="L92" s="46" t="s">
        <v>110</v>
      </c>
      <c r="M92" s="46" t="s">
        <v>110</v>
      </c>
      <c r="N92" s="46" t="s">
        <v>110</v>
      </c>
      <c r="O92" s="46" t="s">
        <v>110</v>
      </c>
      <c r="P92" s="46" t="s">
        <v>110</v>
      </c>
      <c r="Q92" s="46"/>
      <c r="R92" s="27"/>
      <c r="S92" s="27"/>
      <c r="T92" s="27"/>
      <c r="U92" s="47"/>
    </row>
    <row r="93" ht="14.25" customHeight="1">
      <c r="A93" s="27">
        <v>4.0</v>
      </c>
      <c r="B93" s="43">
        <v>5815.0</v>
      </c>
      <c r="C93" s="145" t="s">
        <v>207</v>
      </c>
      <c r="D93" s="44" t="s">
        <v>197</v>
      </c>
      <c r="E93" s="63" t="s">
        <v>208</v>
      </c>
      <c r="F93" s="86" t="s">
        <v>209</v>
      </c>
      <c r="G93" s="46">
        <v>858.0</v>
      </c>
      <c r="H93" s="27">
        <v>858.0</v>
      </c>
      <c r="I93" s="27"/>
      <c r="J93" s="27">
        <v>8575.0</v>
      </c>
      <c r="K93" s="47">
        <f>SUM(G93:J93)</f>
        <v>10291</v>
      </c>
      <c r="L93" s="46"/>
      <c r="M93" s="27"/>
      <c r="N93" s="27"/>
      <c r="O93" s="27">
        <v>10575.0</v>
      </c>
      <c r="P93" s="47"/>
      <c r="Q93" s="46"/>
      <c r="R93" s="27"/>
      <c r="S93" s="27"/>
      <c r="T93" s="27"/>
      <c r="U93" s="47"/>
    </row>
    <row r="94" ht="14.25" customHeight="1">
      <c r="A94" s="27">
        <v>5.0</v>
      </c>
      <c r="B94" s="43">
        <v>5854.0</v>
      </c>
      <c r="C94" s="145" t="s">
        <v>214</v>
      </c>
      <c r="D94" s="44" t="s">
        <v>197</v>
      </c>
      <c r="E94" s="63" t="s">
        <v>215</v>
      </c>
      <c r="F94" s="86" t="s">
        <v>216</v>
      </c>
      <c r="G94" s="46">
        <v>858.0</v>
      </c>
      <c r="H94" s="27">
        <v>858.0</v>
      </c>
      <c r="I94" s="27"/>
      <c r="J94" s="27"/>
      <c r="K94" s="47"/>
      <c r="L94" s="46"/>
      <c r="M94" s="27"/>
      <c r="N94" s="27"/>
      <c r="O94" s="27">
        <v>10575.0</v>
      </c>
      <c r="P94" s="47"/>
      <c r="Q94" s="46"/>
      <c r="R94" s="27"/>
      <c r="S94" s="27"/>
      <c r="T94" s="27"/>
      <c r="U94" s="47"/>
    </row>
    <row r="95" ht="14.25" customHeight="1">
      <c r="A95" s="27">
        <v>6.0</v>
      </c>
      <c r="B95" s="43">
        <v>7562.0</v>
      </c>
      <c r="C95" s="43">
        <v>155.0</v>
      </c>
      <c r="D95" s="44" t="s">
        <v>197</v>
      </c>
      <c r="E95" s="63" t="s">
        <v>219</v>
      </c>
      <c r="F95" s="86" t="s">
        <v>84</v>
      </c>
      <c r="G95" s="153" t="s">
        <v>34</v>
      </c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156"/>
    </row>
    <row r="96" ht="14.25" customHeight="1">
      <c r="A96" s="27"/>
      <c r="B96" s="43"/>
      <c r="C96" s="43"/>
      <c r="D96" s="44"/>
      <c r="E96" s="63"/>
      <c r="F96" s="158"/>
      <c r="G96" s="46"/>
      <c r="H96" s="27"/>
      <c r="I96" s="27"/>
      <c r="J96" s="27"/>
      <c r="K96" s="47"/>
      <c r="L96" s="46"/>
      <c r="M96" s="27"/>
      <c r="N96" s="27"/>
      <c r="O96" s="27"/>
      <c r="P96" s="47"/>
      <c r="Q96" s="46"/>
      <c r="R96" s="27"/>
      <c r="S96" s="27"/>
      <c r="T96" s="27"/>
      <c r="U96" s="47"/>
    </row>
    <row r="97" ht="14.25" customHeight="1">
      <c r="A97" s="1" t="s">
        <v>0</v>
      </c>
      <c r="D97" s="55"/>
      <c r="E97" s="60"/>
      <c r="F97" s="57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ht="14.25" customHeight="1">
      <c r="A98" s="1" t="s">
        <v>1</v>
      </c>
      <c r="D98" s="55"/>
      <c r="E98" s="56"/>
      <c r="F98" s="57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ht="14.25" customHeight="1">
      <c r="D99" s="55"/>
      <c r="E99" s="56"/>
      <c r="F99" s="57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ht="14.25" customHeight="1">
      <c r="A100" s="2" t="s">
        <v>2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ht="14.25" customHeight="1">
      <c r="A101" s="7" t="s">
        <v>5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</row>
    <row r="102" ht="14.25" customHeight="1">
      <c r="A102" s="11" t="s">
        <v>7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</row>
    <row r="103" ht="14.25" customHeight="1">
      <c r="A103" s="13" t="s">
        <v>8</v>
      </c>
      <c r="B103" s="13" t="s">
        <v>14</v>
      </c>
      <c r="C103" s="13" t="s">
        <v>9</v>
      </c>
      <c r="D103" s="14" t="s">
        <v>16</v>
      </c>
      <c r="E103" s="19" t="s">
        <v>11</v>
      </c>
      <c r="F103" s="21" t="s">
        <v>12</v>
      </c>
      <c r="G103" s="23" t="s">
        <v>19</v>
      </c>
      <c r="H103" s="24"/>
      <c r="I103" s="24"/>
      <c r="J103" s="24"/>
      <c r="K103" s="26"/>
      <c r="L103" s="23" t="s">
        <v>15</v>
      </c>
      <c r="M103" s="24"/>
      <c r="N103" s="24"/>
      <c r="O103" s="24"/>
      <c r="P103" s="26"/>
      <c r="Q103" s="23" t="s">
        <v>17</v>
      </c>
      <c r="R103" s="24"/>
      <c r="S103" s="24"/>
      <c r="T103" s="24"/>
      <c r="U103" s="26"/>
    </row>
    <row r="104" ht="14.25" customHeight="1">
      <c r="A104" s="28"/>
      <c r="B104" s="28"/>
      <c r="C104" s="28"/>
      <c r="D104" s="28"/>
      <c r="E104" s="28"/>
      <c r="F104" s="32"/>
      <c r="G104" s="34" t="s">
        <v>20</v>
      </c>
      <c r="H104" s="35" t="s">
        <v>21</v>
      </c>
      <c r="I104" s="36" t="s">
        <v>22</v>
      </c>
      <c r="J104" s="36" t="s">
        <v>23</v>
      </c>
      <c r="K104" s="38" t="s">
        <v>27</v>
      </c>
      <c r="L104" s="34" t="s">
        <v>20</v>
      </c>
      <c r="M104" s="35" t="s">
        <v>21</v>
      </c>
      <c r="N104" s="36" t="s">
        <v>22</v>
      </c>
      <c r="O104" s="36" t="s">
        <v>23</v>
      </c>
      <c r="P104" s="38" t="s">
        <v>27</v>
      </c>
      <c r="Q104" s="34" t="s">
        <v>20</v>
      </c>
      <c r="R104" s="35" t="s">
        <v>21</v>
      </c>
      <c r="S104" s="36" t="s">
        <v>22</v>
      </c>
      <c r="T104" s="36" t="s">
        <v>23</v>
      </c>
      <c r="U104" s="38" t="s">
        <v>27</v>
      </c>
    </row>
    <row r="105" ht="14.25" customHeight="1">
      <c r="A105" s="27">
        <v>1.0</v>
      </c>
      <c r="B105" s="43">
        <v>5666.0</v>
      </c>
      <c r="C105" s="145" t="s">
        <v>236</v>
      </c>
      <c r="D105" s="44" t="s">
        <v>237</v>
      </c>
      <c r="E105" s="63" t="s">
        <v>238</v>
      </c>
      <c r="F105" s="86" t="s">
        <v>239</v>
      </c>
      <c r="G105" s="46"/>
      <c r="H105" s="27"/>
      <c r="I105" s="27"/>
      <c r="J105" s="27"/>
      <c r="K105" s="47"/>
      <c r="L105" s="46"/>
      <c r="M105" s="27"/>
      <c r="N105" s="27"/>
      <c r="O105" s="27"/>
      <c r="P105" s="47"/>
      <c r="Q105" s="46"/>
      <c r="R105" s="27"/>
      <c r="S105" s="27"/>
      <c r="T105" s="27"/>
      <c r="U105" s="47"/>
    </row>
    <row r="106" ht="14.25" customHeight="1">
      <c r="A106" s="27"/>
      <c r="B106" s="44"/>
      <c r="C106" s="44"/>
      <c r="D106" s="44"/>
      <c r="E106" s="161"/>
      <c r="F106" s="102"/>
      <c r="G106" s="46"/>
      <c r="H106" s="27"/>
      <c r="I106" s="27"/>
      <c r="J106" s="27"/>
      <c r="K106" s="47"/>
      <c r="L106" s="46"/>
      <c r="M106" s="27"/>
      <c r="N106" s="27"/>
      <c r="O106" s="27"/>
      <c r="P106" s="47"/>
      <c r="Q106" s="46"/>
      <c r="R106" s="27"/>
      <c r="S106" s="27"/>
      <c r="T106" s="27"/>
      <c r="U106" s="47"/>
    </row>
    <row r="107" ht="14.25" customHeight="1">
      <c r="A107" s="27"/>
      <c r="B107" s="44"/>
      <c r="C107" s="44"/>
      <c r="D107" s="44"/>
      <c r="E107" s="161"/>
      <c r="F107" s="102"/>
      <c r="G107" s="46"/>
      <c r="H107" s="27"/>
      <c r="I107" s="27"/>
      <c r="J107" s="27"/>
      <c r="K107" s="47"/>
      <c r="L107" s="46"/>
      <c r="M107" s="27"/>
      <c r="N107" s="27"/>
      <c r="O107" s="27"/>
      <c r="P107" s="47"/>
      <c r="Q107" s="46"/>
      <c r="R107" s="27"/>
      <c r="S107" s="27"/>
      <c r="T107" s="27"/>
      <c r="U107" s="47"/>
    </row>
    <row r="108" ht="14.25" customHeight="1">
      <c r="A108" s="27"/>
      <c r="B108" s="44"/>
      <c r="C108" s="44"/>
      <c r="D108" s="44"/>
      <c r="E108" s="161"/>
      <c r="F108" s="102"/>
      <c r="G108" s="46"/>
      <c r="H108" s="27"/>
      <c r="I108" s="27"/>
      <c r="J108" s="27"/>
      <c r="K108" s="47"/>
      <c r="L108" s="46"/>
      <c r="M108" s="27"/>
      <c r="N108" s="27"/>
      <c r="O108" s="27"/>
      <c r="P108" s="47"/>
      <c r="Q108" s="46"/>
      <c r="R108" s="27"/>
      <c r="S108" s="27"/>
      <c r="T108" s="27"/>
      <c r="U108" s="47"/>
    </row>
    <row r="109" ht="14.25" customHeight="1">
      <c r="A109" s="27"/>
      <c r="B109" s="44"/>
      <c r="C109" s="44"/>
      <c r="D109" s="44"/>
      <c r="E109" s="161"/>
      <c r="F109" s="102"/>
      <c r="G109" s="46"/>
      <c r="H109" s="27"/>
      <c r="I109" s="27"/>
      <c r="J109" s="27"/>
      <c r="K109" s="47"/>
      <c r="L109" s="46"/>
      <c r="M109" s="27"/>
      <c r="N109" s="27"/>
      <c r="O109" s="27"/>
      <c r="P109" s="47"/>
      <c r="Q109" s="46"/>
      <c r="R109" s="27"/>
      <c r="S109" s="27"/>
      <c r="T109" s="27"/>
      <c r="U109" s="47"/>
    </row>
    <row r="110" ht="14.25" customHeight="1">
      <c r="A110" s="27"/>
      <c r="B110" s="44"/>
      <c r="C110" s="44"/>
      <c r="D110" s="44"/>
      <c r="E110" s="161"/>
      <c r="F110" s="102"/>
      <c r="G110" s="46"/>
      <c r="H110" s="27"/>
      <c r="I110" s="27"/>
      <c r="J110" s="27"/>
      <c r="K110" s="47"/>
      <c r="L110" s="46"/>
      <c r="M110" s="27"/>
      <c r="N110" s="27"/>
      <c r="O110" s="27"/>
      <c r="P110" s="47"/>
      <c r="Q110" s="46"/>
      <c r="R110" s="27"/>
      <c r="S110" s="27"/>
      <c r="T110" s="27"/>
      <c r="U110" s="47"/>
    </row>
    <row r="111" ht="14.25" customHeight="1">
      <c r="A111" s="27"/>
      <c r="B111" s="44"/>
      <c r="C111" s="44"/>
      <c r="D111" s="44"/>
      <c r="E111" s="161"/>
      <c r="F111" s="102"/>
      <c r="G111" s="46"/>
      <c r="H111" s="27"/>
      <c r="I111" s="27"/>
      <c r="J111" s="27"/>
      <c r="K111" s="47"/>
      <c r="L111" s="46"/>
      <c r="M111" s="27"/>
      <c r="N111" s="27"/>
      <c r="O111" s="27"/>
      <c r="P111" s="47"/>
      <c r="Q111" s="46"/>
      <c r="R111" s="27"/>
      <c r="S111" s="27"/>
      <c r="T111" s="27"/>
      <c r="U111" s="47"/>
    </row>
    <row r="112" ht="14.25" customHeight="1">
      <c r="A112" s="27"/>
      <c r="B112" s="44"/>
      <c r="C112" s="44"/>
      <c r="D112" s="44"/>
      <c r="E112" s="161"/>
      <c r="F112" s="102"/>
      <c r="G112" s="46"/>
      <c r="H112" s="27"/>
      <c r="I112" s="27"/>
      <c r="J112" s="27"/>
      <c r="K112" s="47"/>
      <c r="L112" s="46"/>
      <c r="M112" s="27"/>
      <c r="N112" s="27"/>
      <c r="O112" s="27"/>
      <c r="P112" s="47"/>
      <c r="Q112" s="46"/>
      <c r="R112" s="27"/>
      <c r="S112" s="27"/>
      <c r="T112" s="27"/>
      <c r="U112" s="47"/>
    </row>
    <row r="113" ht="14.25" customHeight="1">
      <c r="A113" s="27"/>
      <c r="B113" s="44"/>
      <c r="C113" s="44"/>
      <c r="D113" s="44"/>
      <c r="E113" s="161"/>
      <c r="F113" s="102"/>
      <c r="G113" s="46"/>
      <c r="H113" s="27"/>
      <c r="I113" s="27"/>
      <c r="J113" s="27"/>
      <c r="K113" s="47"/>
      <c r="L113" s="46"/>
      <c r="M113" s="27"/>
      <c r="N113" s="27"/>
      <c r="O113" s="27"/>
      <c r="P113" s="47"/>
      <c r="Q113" s="46"/>
      <c r="R113" s="27"/>
      <c r="S113" s="27"/>
      <c r="T113" s="27"/>
      <c r="U113" s="47"/>
    </row>
    <row r="114" ht="14.25" customHeight="1">
      <c r="A114" s="27"/>
      <c r="B114" s="44"/>
      <c r="C114" s="44"/>
      <c r="D114" s="44"/>
      <c r="E114" s="161"/>
      <c r="F114" s="102"/>
      <c r="G114" s="46"/>
      <c r="H114" s="27"/>
      <c r="I114" s="27"/>
      <c r="J114" s="27"/>
      <c r="K114" s="47"/>
      <c r="L114" s="46"/>
      <c r="M114" s="27"/>
      <c r="N114" s="27"/>
      <c r="O114" s="27"/>
      <c r="P114" s="47"/>
      <c r="Q114" s="46"/>
      <c r="R114" s="27"/>
      <c r="S114" s="27"/>
      <c r="T114" s="27"/>
      <c r="U114" s="47"/>
    </row>
    <row r="115" ht="14.25" customHeight="1">
      <c r="A115" s="27"/>
      <c r="B115" s="44"/>
      <c r="C115" s="44"/>
      <c r="D115" s="44"/>
      <c r="E115" s="161"/>
      <c r="F115" s="102"/>
      <c r="G115" s="46"/>
      <c r="H115" s="27"/>
      <c r="I115" s="27"/>
      <c r="J115" s="27"/>
      <c r="K115" s="47"/>
      <c r="L115" s="46"/>
      <c r="M115" s="27"/>
      <c r="N115" s="27"/>
      <c r="O115" s="27"/>
      <c r="P115" s="47"/>
      <c r="Q115" s="46"/>
      <c r="R115" s="27"/>
      <c r="S115" s="27"/>
      <c r="T115" s="27"/>
      <c r="U115" s="47"/>
    </row>
    <row r="116" ht="14.25" customHeight="1">
      <c r="A116" s="27"/>
      <c r="B116" s="44"/>
      <c r="C116" s="44"/>
      <c r="D116" s="44"/>
      <c r="E116" s="161"/>
      <c r="F116" s="102"/>
      <c r="G116" s="46"/>
      <c r="H116" s="27"/>
      <c r="I116" s="27"/>
      <c r="J116" s="27"/>
      <c r="K116" s="47"/>
      <c r="L116" s="46"/>
      <c r="M116" s="27"/>
      <c r="N116" s="27"/>
      <c r="O116" s="27"/>
      <c r="P116" s="47"/>
      <c r="Q116" s="46"/>
      <c r="R116" s="27"/>
      <c r="S116" s="27"/>
      <c r="T116" s="27"/>
      <c r="U116" s="47"/>
    </row>
    <row r="117" ht="14.25" customHeight="1">
      <c r="A117" s="27"/>
      <c r="B117" s="44"/>
      <c r="C117" s="44"/>
      <c r="D117" s="44"/>
      <c r="E117" s="161"/>
      <c r="F117" s="102"/>
      <c r="G117" s="46"/>
      <c r="H117" s="27"/>
      <c r="I117" s="27"/>
      <c r="J117" s="27"/>
      <c r="K117" s="47"/>
      <c r="L117" s="46"/>
      <c r="M117" s="27"/>
      <c r="N117" s="27"/>
      <c r="O117" s="27"/>
      <c r="P117" s="47"/>
      <c r="Q117" s="46"/>
      <c r="R117" s="27"/>
      <c r="S117" s="27"/>
      <c r="T117" s="27"/>
      <c r="U117" s="47"/>
    </row>
    <row r="118" ht="14.25" customHeight="1">
      <c r="A118" s="163"/>
      <c r="B118" s="164"/>
      <c r="C118" s="164"/>
      <c r="D118" s="164"/>
      <c r="E118" s="165"/>
      <c r="F118" s="166"/>
      <c r="G118" s="167"/>
      <c r="H118" s="163"/>
      <c r="I118" s="163"/>
      <c r="J118" s="163"/>
      <c r="K118" s="168"/>
      <c r="L118" s="167"/>
      <c r="M118" s="163"/>
      <c r="N118" s="163"/>
      <c r="O118" s="163"/>
      <c r="P118" s="168"/>
      <c r="Q118" s="167"/>
      <c r="R118" s="163"/>
      <c r="S118" s="163"/>
      <c r="T118" s="163"/>
      <c r="U118" s="168"/>
    </row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